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terciaaa-my.sharepoint.com/personal/ychavez_tercia_com_bo/Documents/Sistemas 2026/Sistema gestion documental/Documentación Oficial/"/>
    </mc:Choice>
  </mc:AlternateContent>
  <xr:revisionPtr revIDLastSave="263" documentId="13_ncr:1_{D46CC587-4F4D-4D3C-99E8-B0904E9A1755}" xr6:coauthVersionLast="47" xr6:coauthVersionMax="47" xr10:uidLastSave="{324EFAAE-1043-428B-9324-DE2C34FAF8EA}"/>
  <bookViews>
    <workbookView xWindow="960" yWindow="960" windowWidth="23010" windowHeight="12450" firstSheet="1" activeTab="2" xr2:uid="{00000000-000D-0000-FFFF-FFFF00000000}"/>
  </bookViews>
  <sheets>
    <sheet name="Configuración" sheetId="1" r:id="rId1"/>
    <sheet name="Gantt" sheetId="2" r:id="rId2"/>
    <sheet name="Detalle de entregable" sheetId="7" r:id="rId3"/>
    <sheet name="Dashboard" sheetId="3" r:id="rId4"/>
    <sheet name="Dashboard2" sheetId="6" state="hidden" r:id="rId5"/>
    <sheet name="Ponderaciones" sheetId="4" r:id="rId6"/>
  </sheets>
  <definedNames>
    <definedName name="_xlnm._FilterDatabase" localSheetId="4" hidden="1">Dashboard2!$A$9:$G$55</definedName>
    <definedName name="FechaInicioProyecto">Configuración!$B$4</definedName>
    <definedName name="Feriados_BO_2026">Configuración!$A$14:$A$24</definedName>
    <definedName name="HorizonteDias">Configuración!$B$5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3" l="1"/>
  <c r="D19" i="3"/>
  <c r="K40" i="3"/>
  <c r="K41" i="3"/>
  <c r="K39" i="3"/>
  <c r="K35" i="3"/>
  <c r="K36" i="3"/>
  <c r="K37" i="3"/>
  <c r="K38" i="3"/>
  <c r="K34" i="3"/>
  <c r="K30" i="3"/>
  <c r="K31" i="3"/>
  <c r="K32" i="3"/>
  <c r="K33" i="3"/>
  <c r="K29" i="3"/>
  <c r="K26" i="3"/>
  <c r="K27" i="3"/>
  <c r="K28" i="3"/>
  <c r="K25" i="3"/>
  <c r="K23" i="3"/>
  <c r="K24" i="3"/>
  <c r="K22" i="3"/>
  <c r="K20" i="3"/>
  <c r="K21" i="3"/>
  <c r="K19" i="3"/>
  <c r="I39" i="3"/>
  <c r="H39" i="3"/>
  <c r="H41" i="3"/>
  <c r="F19" i="3"/>
  <c r="F40" i="3"/>
  <c r="F41" i="3"/>
  <c r="F39" i="3"/>
  <c r="F35" i="3"/>
  <c r="F36" i="3"/>
  <c r="F37" i="3"/>
  <c r="F38" i="3"/>
  <c r="F34" i="3"/>
  <c r="F30" i="3"/>
  <c r="F31" i="3"/>
  <c r="F32" i="3"/>
  <c r="F33" i="3"/>
  <c r="F29" i="3"/>
  <c r="F26" i="3"/>
  <c r="F27" i="3"/>
  <c r="F28" i="3"/>
  <c r="F25" i="3"/>
  <c r="F23" i="3"/>
  <c r="F24" i="3"/>
  <c r="F22" i="3"/>
  <c r="F20" i="3"/>
  <c r="F21" i="3"/>
  <c r="E36" i="3"/>
  <c r="D40" i="3"/>
  <c r="E40" i="3"/>
  <c r="I40" i="3" s="1"/>
  <c r="D41" i="3"/>
  <c r="E41" i="3"/>
  <c r="D39" i="3"/>
  <c r="E39" i="3"/>
  <c r="G39" i="3" s="1"/>
  <c r="D35" i="3"/>
  <c r="E35" i="3"/>
  <c r="D36" i="3"/>
  <c r="D37" i="3"/>
  <c r="H37" i="3" s="1"/>
  <c r="E37" i="3"/>
  <c r="I37" i="3" s="1"/>
  <c r="D38" i="3"/>
  <c r="H38" i="3" s="1"/>
  <c r="E38" i="3"/>
  <c r="D34" i="3"/>
  <c r="E34" i="3"/>
  <c r="D30" i="3"/>
  <c r="E30" i="3"/>
  <c r="D31" i="3"/>
  <c r="E31" i="3"/>
  <c r="D32" i="3"/>
  <c r="E32" i="3"/>
  <c r="D33" i="3"/>
  <c r="E33" i="3"/>
  <c r="D29" i="3"/>
  <c r="E29" i="3"/>
  <c r="D26" i="3"/>
  <c r="E26" i="3"/>
  <c r="D27" i="3"/>
  <c r="E27" i="3"/>
  <c r="D28" i="3"/>
  <c r="E28" i="3"/>
  <c r="D25" i="3"/>
  <c r="E25" i="3"/>
  <c r="D23" i="3"/>
  <c r="E23" i="3"/>
  <c r="D24" i="3"/>
  <c r="E24" i="3"/>
  <c r="D22" i="3"/>
  <c r="E22" i="3"/>
  <c r="D20" i="3"/>
  <c r="E20" i="3"/>
  <c r="D21" i="3"/>
  <c r="E21" i="3"/>
  <c r="A40" i="3"/>
  <c r="A41" i="3"/>
  <c r="A39" i="3"/>
  <c r="A35" i="3"/>
  <c r="A36" i="3"/>
  <c r="A37" i="3"/>
  <c r="A38" i="3"/>
  <c r="A34" i="3"/>
  <c r="A30" i="3"/>
  <c r="A31" i="3"/>
  <c r="A32" i="3"/>
  <c r="A33" i="3"/>
  <c r="A29" i="3"/>
  <c r="A26" i="3"/>
  <c r="A27" i="3"/>
  <c r="A28" i="3"/>
  <c r="A25" i="3"/>
  <c r="A23" i="3"/>
  <c r="A24" i="3"/>
  <c r="A20" i="3"/>
  <c r="A21" i="3"/>
  <c r="A22" i="3"/>
  <c r="A19" i="3"/>
  <c r="G30" i="3"/>
  <c r="G22" i="3" l="1"/>
  <c r="G26" i="3"/>
  <c r="G41" i="3"/>
  <c r="G24" i="3"/>
  <c r="G38" i="3"/>
  <c r="G40" i="3"/>
  <c r="G20" i="3"/>
  <c r="G36" i="3"/>
  <c r="G34" i="3"/>
  <c r="I36" i="3"/>
  <c r="G19" i="3"/>
  <c r="G37" i="3"/>
  <c r="G35" i="3"/>
  <c r="I41" i="3"/>
  <c r="G33" i="3"/>
  <c r="H40" i="3"/>
  <c r="I38" i="3"/>
  <c r="G21" i="3"/>
  <c r="G28" i="3"/>
  <c r="G32" i="3"/>
  <c r="G27" i="3"/>
  <c r="G25" i="3"/>
  <c r="G31" i="3"/>
  <c r="G23" i="3"/>
  <c r="G29" i="3"/>
  <c r="Q9" i="6" l="1"/>
  <c r="T9" i="6"/>
  <c r="U9" i="6"/>
  <c r="Q10" i="6"/>
  <c r="R10" i="6"/>
  <c r="S10" i="6"/>
  <c r="Q11" i="6"/>
  <c r="T11" i="6"/>
  <c r="U11" i="6"/>
  <c r="Q12" i="6"/>
  <c r="R12" i="6"/>
  <c r="S12" i="6"/>
  <c r="Q13" i="6"/>
  <c r="T13" i="6"/>
  <c r="U13" i="6"/>
  <c r="Q14" i="6"/>
  <c r="R14" i="6"/>
  <c r="S14" i="6"/>
  <c r="Q15" i="6"/>
  <c r="T15" i="6"/>
  <c r="U15" i="6"/>
  <c r="Q16" i="6"/>
  <c r="R16" i="6"/>
  <c r="S16" i="6"/>
  <c r="Q17" i="6"/>
  <c r="T17" i="6"/>
  <c r="U17" i="6"/>
  <c r="Q18" i="6"/>
  <c r="R18" i="6"/>
  <c r="S18" i="6"/>
  <c r="Q19" i="6"/>
  <c r="T19" i="6"/>
  <c r="U19" i="6"/>
  <c r="Q20" i="6"/>
  <c r="R20" i="6"/>
  <c r="S20" i="6"/>
  <c r="Q21" i="6"/>
  <c r="T21" i="6"/>
  <c r="U21" i="6"/>
  <c r="Q22" i="6"/>
  <c r="R22" i="6"/>
  <c r="S22" i="6"/>
  <c r="Q23" i="6"/>
  <c r="T23" i="6"/>
  <c r="U23" i="6"/>
  <c r="Q24" i="6"/>
  <c r="R24" i="6"/>
  <c r="S24" i="6"/>
  <c r="Q25" i="6"/>
  <c r="T25" i="6"/>
  <c r="U25" i="6"/>
  <c r="Q26" i="6"/>
  <c r="R26" i="6"/>
  <c r="S26" i="6"/>
  <c r="Q27" i="6"/>
  <c r="T27" i="6"/>
  <c r="U27" i="6"/>
  <c r="Q28" i="6"/>
  <c r="R28" i="6"/>
  <c r="S28" i="6"/>
  <c r="Q29" i="6"/>
  <c r="T29" i="6"/>
  <c r="U29" i="6"/>
  <c r="Q30" i="6"/>
  <c r="R30" i="6"/>
  <c r="S30" i="6"/>
  <c r="Q31" i="6"/>
  <c r="T31" i="6"/>
  <c r="U31" i="6"/>
  <c r="Q32" i="6"/>
  <c r="R32" i="6"/>
  <c r="S32" i="6"/>
  <c r="Q33" i="6"/>
  <c r="T33" i="6"/>
  <c r="U33" i="6"/>
  <c r="Q34" i="6"/>
  <c r="R34" i="6"/>
  <c r="S34" i="6"/>
  <c r="Q35" i="6"/>
  <c r="T35" i="6"/>
  <c r="U35" i="6"/>
  <c r="Q36" i="6"/>
  <c r="R36" i="6"/>
  <c r="S36" i="6"/>
  <c r="Q37" i="6"/>
  <c r="T37" i="6"/>
  <c r="U37" i="6"/>
  <c r="Q38" i="6"/>
  <c r="R38" i="6"/>
  <c r="S38" i="6"/>
  <c r="Q39" i="6"/>
  <c r="T39" i="6"/>
  <c r="U39" i="6"/>
  <c r="Q40" i="6"/>
  <c r="R40" i="6"/>
  <c r="S40" i="6"/>
  <c r="Q41" i="6"/>
  <c r="T41" i="6"/>
  <c r="U41" i="6"/>
  <c r="Q42" i="6"/>
  <c r="R42" i="6"/>
  <c r="S42" i="6"/>
  <c r="Q43" i="6"/>
  <c r="T43" i="6"/>
  <c r="U43" i="6"/>
  <c r="Q44" i="6"/>
  <c r="R44" i="6"/>
  <c r="S44" i="6"/>
  <c r="Q45" i="6"/>
  <c r="T45" i="6"/>
  <c r="U45" i="6"/>
  <c r="Q46" i="6"/>
  <c r="R46" i="6"/>
  <c r="S46" i="6"/>
  <c r="T46" i="6"/>
  <c r="U46" i="6"/>
  <c r="Q47" i="6"/>
  <c r="T47" i="6"/>
  <c r="U47" i="6"/>
  <c r="Q48" i="6"/>
  <c r="R48" i="6"/>
  <c r="S48" i="6"/>
  <c r="T48" i="6"/>
  <c r="U48" i="6"/>
  <c r="Q49" i="6"/>
  <c r="T49" i="6"/>
  <c r="U49" i="6"/>
  <c r="Q50" i="6"/>
  <c r="R50" i="6"/>
  <c r="S50" i="6"/>
  <c r="T50" i="6"/>
  <c r="U50" i="6"/>
  <c r="Q51" i="6"/>
  <c r="T51" i="6"/>
  <c r="U51" i="6"/>
  <c r="Q52" i="6"/>
  <c r="R52" i="6"/>
  <c r="S52" i="6"/>
  <c r="T52" i="6"/>
  <c r="U52" i="6"/>
  <c r="Q53" i="6"/>
  <c r="T53" i="6"/>
  <c r="U53" i="6"/>
  <c r="Q54" i="6"/>
  <c r="R54" i="6"/>
  <c r="S54" i="6"/>
  <c r="T54" i="6"/>
  <c r="U54" i="6"/>
  <c r="J20" i="2"/>
  <c r="E26" i="4"/>
  <c r="D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M3" i="2"/>
  <c r="M2" i="2" s="1"/>
  <c r="N3" i="2"/>
  <c r="CY3" i="2"/>
  <c r="CY2" i="2" s="1"/>
  <c r="CZ3" i="2"/>
  <c r="CZ2" i="2" s="1"/>
  <c r="DA3" i="2"/>
  <c r="DA2" i="2" s="1"/>
  <c r="DB3" i="2"/>
  <c r="DB2" i="2" s="1"/>
  <c r="DC3" i="2"/>
  <c r="DC2" i="2" s="1"/>
  <c r="DD3" i="2"/>
  <c r="DD2" i="2" s="1"/>
  <c r="DE3" i="2"/>
  <c r="DE2" i="2" s="1"/>
  <c r="DF3" i="2"/>
  <c r="DF2" i="2" s="1"/>
  <c r="DG3" i="2"/>
  <c r="DG2" i="2" s="1"/>
  <c r="DH3" i="2"/>
  <c r="DH2" i="2" s="1"/>
  <c r="DI3" i="2"/>
  <c r="DI2" i="2" s="1"/>
  <c r="DJ3" i="2"/>
  <c r="DJ2" i="2" s="1"/>
  <c r="DK3" i="2"/>
  <c r="DK2" i="2" s="1"/>
  <c r="DL3" i="2"/>
  <c r="DL2" i="2" s="1"/>
  <c r="DM3" i="2"/>
  <c r="DM2" i="2" s="1"/>
  <c r="DN3" i="2"/>
  <c r="DN2" i="2" s="1"/>
  <c r="DO3" i="2"/>
  <c r="DO2" i="2" s="1"/>
  <c r="DP3" i="2"/>
  <c r="DP2" i="2" s="1"/>
  <c r="DQ3" i="2"/>
  <c r="DQ2" i="2" s="1"/>
  <c r="DR3" i="2"/>
  <c r="DR2" i="2" s="1"/>
  <c r="DS3" i="2"/>
  <c r="DS2" i="2" s="1"/>
  <c r="DT3" i="2"/>
  <c r="DT2" i="2" s="1"/>
  <c r="DU3" i="2"/>
  <c r="DU2" i="2" s="1"/>
  <c r="DV3" i="2"/>
  <c r="DV2" i="2" s="1"/>
  <c r="DW3" i="2"/>
  <c r="DW2" i="2" s="1"/>
  <c r="DX3" i="2"/>
  <c r="DX2" i="2" s="1"/>
  <c r="DY3" i="2"/>
  <c r="DY2" i="2" s="1"/>
  <c r="DZ3" i="2"/>
  <c r="DZ2" i="2" s="1"/>
  <c r="EA3" i="2"/>
  <c r="EA2" i="2" s="1"/>
  <c r="EB3" i="2"/>
  <c r="EB2" i="2" s="1"/>
  <c r="EC3" i="2"/>
  <c r="EC2" i="2" s="1"/>
  <c r="ED3" i="2"/>
  <c r="ED2" i="2" s="1"/>
  <c r="EE3" i="2"/>
  <c r="EE2" i="2" s="1"/>
  <c r="EF3" i="2"/>
  <c r="EF2" i="2" s="1"/>
  <c r="EG3" i="2"/>
  <c r="EG2" i="2" s="1"/>
  <c r="EH3" i="2"/>
  <c r="EH2" i="2" s="1"/>
  <c r="EI3" i="2"/>
  <c r="EI2" i="2" s="1"/>
  <c r="EJ3" i="2"/>
  <c r="EJ2" i="2" s="1"/>
  <c r="EK3" i="2"/>
  <c r="EK2" i="2" s="1"/>
  <c r="EL3" i="2"/>
  <c r="EL2" i="2" s="1"/>
  <c r="EM3" i="2"/>
  <c r="EM2" i="2" s="1"/>
  <c r="EN3" i="2"/>
  <c r="EN2" i="2" s="1"/>
  <c r="EO3" i="2"/>
  <c r="EO2" i="2" s="1"/>
  <c r="EP3" i="2"/>
  <c r="EP2" i="2" s="1"/>
  <c r="EQ3" i="2"/>
  <c r="EQ2" i="2" s="1"/>
  <c r="ER3" i="2"/>
  <c r="ER2" i="2" s="1"/>
  <c r="ES3" i="2"/>
  <c r="ES2" i="2" s="1"/>
  <c r="ET3" i="2"/>
  <c r="ET2" i="2" s="1"/>
  <c r="EU3" i="2"/>
  <c r="EU2" i="2" s="1"/>
  <c r="EV3" i="2"/>
  <c r="EV2" i="2" s="1"/>
  <c r="EW3" i="2"/>
  <c r="EW2" i="2" s="1"/>
  <c r="EX3" i="2"/>
  <c r="EX2" i="2" s="1"/>
  <c r="EY3" i="2"/>
  <c r="EY2" i="2" s="1"/>
  <c r="EZ3" i="2"/>
  <c r="EZ2" i="2" s="1"/>
  <c r="FA3" i="2"/>
  <c r="FA2" i="2" s="1"/>
  <c r="FB3" i="2"/>
  <c r="FB2" i="2" s="1"/>
  <c r="FC3" i="2"/>
  <c r="FC2" i="2" s="1"/>
  <c r="FD3" i="2"/>
  <c r="FD2" i="2" s="1"/>
  <c r="FE3" i="2"/>
  <c r="FE2" i="2" s="1"/>
  <c r="FF3" i="2"/>
  <c r="FF2" i="2" s="1"/>
  <c r="FG3" i="2"/>
  <c r="FG2" i="2" s="1"/>
  <c r="FH3" i="2"/>
  <c r="FH2" i="2" s="1"/>
  <c r="FI3" i="2"/>
  <c r="FI2" i="2" s="1"/>
  <c r="FJ3" i="2"/>
  <c r="FJ2" i="2" s="1"/>
  <c r="FK3" i="2"/>
  <c r="FK2" i="2" s="1"/>
  <c r="FL3" i="2"/>
  <c r="FL2" i="2" s="1"/>
  <c r="FM3" i="2"/>
  <c r="FM2" i="2" s="1"/>
  <c r="FN3" i="2"/>
  <c r="FN2" i="2" s="1"/>
  <c r="FO3" i="2"/>
  <c r="FO2" i="2" s="1"/>
  <c r="FP3" i="2"/>
  <c r="FP2" i="2" s="1"/>
  <c r="FQ3" i="2"/>
  <c r="FQ2" i="2" s="1"/>
  <c r="FR3" i="2"/>
  <c r="FR2" i="2" s="1"/>
  <c r="FS3" i="2"/>
  <c r="FS2" i="2" s="1"/>
  <c r="FT3" i="2"/>
  <c r="FT2" i="2" s="1"/>
  <c r="FU3" i="2"/>
  <c r="FU2" i="2" s="1"/>
  <c r="FV3" i="2"/>
  <c r="FV2" i="2" s="1"/>
  <c r="FW3" i="2"/>
  <c r="FW2" i="2" s="1"/>
  <c r="FX3" i="2"/>
  <c r="FX2" i="2" s="1"/>
  <c r="FY3" i="2"/>
  <c r="FY2" i="2" s="1"/>
  <c r="FZ3" i="2"/>
  <c r="FZ2" i="2" s="1"/>
  <c r="GA3" i="2"/>
  <c r="GA2" i="2" s="1"/>
  <c r="GB3" i="2"/>
  <c r="GB2" i="2" s="1"/>
  <c r="GC3" i="2"/>
  <c r="GC2" i="2" s="1"/>
  <c r="GD3" i="2"/>
  <c r="GD2" i="2" s="1"/>
  <c r="GE3" i="2"/>
  <c r="GE2" i="2" s="1"/>
  <c r="GF3" i="2"/>
  <c r="GF2" i="2" s="1"/>
  <c r="GG3" i="2"/>
  <c r="GG2" i="2" s="1"/>
  <c r="GH3" i="2"/>
  <c r="GH2" i="2" s="1"/>
  <c r="GI3" i="2"/>
  <c r="GI2" i="2" s="1"/>
  <c r="GJ3" i="2"/>
  <c r="GJ2" i="2" s="1"/>
  <c r="GK3" i="2"/>
  <c r="GK2" i="2" s="1"/>
  <c r="GL3" i="2"/>
  <c r="GL2" i="2" s="1"/>
  <c r="GM3" i="2"/>
  <c r="GM2" i="2" s="1"/>
  <c r="GN3" i="2"/>
  <c r="GN2" i="2" s="1"/>
  <c r="GO3" i="2"/>
  <c r="GO2" i="2" s="1"/>
  <c r="GP3" i="2"/>
  <c r="GP2" i="2" s="1"/>
  <c r="GQ3" i="2"/>
  <c r="GQ2" i="2" s="1"/>
  <c r="GR3" i="2"/>
  <c r="GR2" i="2" s="1"/>
  <c r="GS3" i="2"/>
  <c r="GS2" i="2" s="1"/>
  <c r="GT3" i="2"/>
  <c r="GT2" i="2" s="1"/>
  <c r="GU3" i="2"/>
  <c r="GU2" i="2" s="1"/>
  <c r="GV3" i="2"/>
  <c r="GV2" i="2" s="1"/>
  <c r="GW3" i="2"/>
  <c r="GW2" i="2" s="1"/>
  <c r="GX3" i="2"/>
  <c r="GX2" i="2" s="1"/>
  <c r="GY3" i="2"/>
  <c r="GY2" i="2" s="1"/>
  <c r="GZ3" i="2"/>
  <c r="GZ2" i="2" s="1"/>
  <c r="HA3" i="2"/>
  <c r="HA2" i="2" s="1"/>
  <c r="HB3" i="2"/>
  <c r="HB2" i="2" s="1"/>
  <c r="HC3" i="2"/>
  <c r="HC2" i="2" s="1"/>
  <c r="HD3" i="2"/>
  <c r="HD2" i="2" s="1"/>
  <c r="HE3" i="2"/>
  <c r="HE2" i="2" s="1"/>
  <c r="HF3" i="2"/>
  <c r="HF2" i="2" s="1"/>
  <c r="HG3" i="2"/>
  <c r="HG2" i="2" s="1"/>
  <c r="HH3" i="2"/>
  <c r="HH2" i="2" s="1"/>
  <c r="HI3" i="2"/>
  <c r="HI2" i="2" s="1"/>
  <c r="HJ3" i="2"/>
  <c r="HJ2" i="2" s="1"/>
  <c r="HK3" i="2"/>
  <c r="HK2" i="2" s="1"/>
  <c r="HL3" i="2"/>
  <c r="HL2" i="2" s="1"/>
  <c r="HM3" i="2"/>
  <c r="HM2" i="2" s="1"/>
  <c r="HN3" i="2"/>
  <c r="HN2" i="2" s="1"/>
  <c r="HO3" i="2"/>
  <c r="HO2" i="2" s="1"/>
  <c r="HP3" i="2"/>
  <c r="HP2" i="2" s="1"/>
  <c r="HQ3" i="2"/>
  <c r="HQ2" i="2" s="1"/>
  <c r="HR3" i="2"/>
  <c r="HR2" i="2" s="1"/>
  <c r="HS3" i="2"/>
  <c r="HS2" i="2" s="1"/>
  <c r="HT3" i="2"/>
  <c r="HT2" i="2" s="1"/>
  <c r="HU3" i="2"/>
  <c r="HU2" i="2" s="1"/>
  <c r="HV3" i="2"/>
  <c r="HV2" i="2" s="1"/>
  <c r="HW3" i="2"/>
  <c r="HW2" i="2" s="1"/>
  <c r="HX3" i="2"/>
  <c r="HX2" i="2" s="1"/>
  <c r="HY3" i="2"/>
  <c r="HY2" i="2" s="1"/>
  <c r="HZ3" i="2"/>
  <c r="HZ2" i="2" s="1"/>
  <c r="IA3" i="2"/>
  <c r="IA2" i="2" s="1"/>
  <c r="IB3" i="2"/>
  <c r="IB2" i="2" s="1"/>
  <c r="IC3" i="2"/>
  <c r="IC2" i="2" s="1"/>
  <c r="ID3" i="2"/>
  <c r="ID2" i="2" s="1"/>
  <c r="IE3" i="2"/>
  <c r="IE2" i="2" s="1"/>
  <c r="IF3" i="2"/>
  <c r="IF2" i="2" s="1"/>
  <c r="IG3" i="2"/>
  <c r="IG2" i="2" s="1"/>
  <c r="IH3" i="2"/>
  <c r="IH2" i="2" s="1"/>
  <c r="II3" i="2"/>
  <c r="II2" i="2" s="1"/>
  <c r="IJ3" i="2"/>
  <c r="IJ2" i="2" s="1"/>
  <c r="IK3" i="2"/>
  <c r="IK2" i="2" s="1"/>
  <c r="IL3" i="2"/>
  <c r="IL2" i="2" s="1"/>
  <c r="IM3" i="2"/>
  <c r="IM2" i="2" s="1"/>
  <c r="IN3" i="2"/>
  <c r="IN2" i="2" s="1"/>
  <c r="IO3" i="2"/>
  <c r="IO2" i="2" s="1"/>
  <c r="IP3" i="2"/>
  <c r="IP2" i="2" s="1"/>
  <c r="IQ3" i="2"/>
  <c r="IQ2" i="2" s="1"/>
  <c r="IR3" i="2"/>
  <c r="IR2" i="2" s="1"/>
  <c r="IS3" i="2"/>
  <c r="IS2" i="2" s="1"/>
  <c r="IT3" i="2"/>
  <c r="IT2" i="2" s="1"/>
  <c r="IU3" i="2"/>
  <c r="IU2" i="2" s="1"/>
  <c r="IV3" i="2"/>
  <c r="IV2" i="2" s="1"/>
  <c r="IW3" i="2"/>
  <c r="IW2" i="2" s="1"/>
  <c r="IX3" i="2"/>
  <c r="IX2" i="2" s="1"/>
  <c r="IY3" i="2"/>
  <c r="IY2" i="2" s="1"/>
  <c r="IZ3" i="2"/>
  <c r="IZ2" i="2" s="1"/>
  <c r="JA3" i="2"/>
  <c r="JA2" i="2" s="1"/>
  <c r="JB3" i="2"/>
  <c r="JB2" i="2" s="1"/>
  <c r="JC3" i="2"/>
  <c r="JC2" i="2" s="1"/>
  <c r="JD3" i="2"/>
  <c r="JD2" i="2" s="1"/>
  <c r="JE3" i="2"/>
  <c r="JE2" i="2" s="1"/>
  <c r="JF3" i="2"/>
  <c r="JF2" i="2" s="1"/>
  <c r="JG3" i="2"/>
  <c r="JG2" i="2" s="1"/>
  <c r="JH3" i="2"/>
  <c r="JH2" i="2" s="1"/>
  <c r="JI3" i="2"/>
  <c r="JI2" i="2" s="1"/>
  <c r="JJ3" i="2"/>
  <c r="JJ2" i="2" s="1"/>
  <c r="JK3" i="2"/>
  <c r="JK2" i="2" s="1"/>
  <c r="JL3" i="2"/>
  <c r="JL2" i="2" s="1"/>
  <c r="C13" i="3" a="1"/>
  <c r="C13" i="3" s="1"/>
  <c r="D11" i="3"/>
  <c r="E11" i="3" s="1" a="1"/>
  <c r="E11" i="3" s="1"/>
  <c r="C11" i="3"/>
  <c r="B11" i="3"/>
  <c r="D10" i="3"/>
  <c r="E10" i="3" s="1" a="1"/>
  <c r="E10" i="3" s="1"/>
  <c r="C10" i="3"/>
  <c r="B10" i="3"/>
  <c r="C9" i="3"/>
  <c r="B9" i="3"/>
  <c r="D8" i="3"/>
  <c r="E8" i="3" s="1" a="1"/>
  <c r="E8" i="3" s="1"/>
  <c r="C8" i="3"/>
  <c r="B8" i="3"/>
  <c r="D7" i="3"/>
  <c r="E7" i="3" s="1" a="1"/>
  <c r="E7" i="3" s="1"/>
  <c r="C7" i="3"/>
  <c r="B7" i="3"/>
  <c r="D6" i="3"/>
  <c r="E6" i="3" s="1" a="1"/>
  <c r="E6" i="3" s="1"/>
  <c r="C6" i="3"/>
  <c r="B6" i="3"/>
  <c r="D2" i="3"/>
  <c r="B2" i="3"/>
  <c r="K19" i="2"/>
  <c r="K18" i="2"/>
  <c r="K16" i="2"/>
  <c r="K15" i="2"/>
  <c r="K14" i="2"/>
  <c r="K13" i="2"/>
  <c r="K11" i="2"/>
  <c r="K10" i="2"/>
  <c r="K9" i="2"/>
  <c r="K7" i="2"/>
  <c r="K6" i="2"/>
  <c r="K5" i="2"/>
  <c r="D5" i="2"/>
  <c r="D2" i="2"/>
  <c r="B2" i="2"/>
  <c r="C24" i="1"/>
  <c r="C23" i="1"/>
  <c r="C22" i="1"/>
  <c r="C21" i="1"/>
  <c r="C20" i="1"/>
  <c r="C19" i="1"/>
  <c r="C18" i="1"/>
  <c r="C17" i="1"/>
  <c r="C16" i="1"/>
  <c r="C15" i="1"/>
  <c r="C14" i="1"/>
  <c r="B8" i="1"/>
  <c r="B7" i="1"/>
  <c r="F5" i="2" l="1"/>
  <c r="B19" i="3"/>
  <c r="H19" i="3" s="1"/>
  <c r="R9" i="6"/>
  <c r="D13" i="3" a="1"/>
  <c r="D13" i="3" s="1"/>
  <c r="D9" i="3"/>
  <c r="E9" i="3" s="1" a="1"/>
  <c r="E9" i="3" s="1"/>
  <c r="K32" i="2"/>
  <c r="K31" i="2"/>
  <c r="K30" i="2"/>
  <c r="K28" i="2"/>
  <c r="K27" i="2"/>
  <c r="K26" i="2"/>
  <c r="K25" i="2"/>
  <c r="K24" i="2"/>
  <c r="K22" i="2"/>
  <c r="K21" i="2"/>
  <c r="K20" i="2"/>
  <c r="K2" i="2" a="1"/>
  <c r="K2" i="2" s="1"/>
  <c r="E7" i="4"/>
  <c r="E6" i="4"/>
  <c r="E5" i="4"/>
  <c r="E4" i="4"/>
  <c r="E3" i="4"/>
  <c r="F3" i="4" s="1"/>
  <c r="F4" i="4" s="1"/>
  <c r="F5" i="4" s="1"/>
  <c r="F6" i="4" s="1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O3" i="2"/>
  <c r="N2" i="2"/>
  <c r="F2" i="3"/>
  <c r="F2" i="2"/>
  <c r="C19" i="3" l="1"/>
  <c r="I19" i="3" s="1"/>
  <c r="I5" i="2"/>
  <c r="J19" i="3" s="1"/>
  <c r="A5" i="6"/>
  <c r="G7" i="3"/>
  <c r="S9" i="6"/>
  <c r="U10" i="6"/>
  <c r="T10" i="6"/>
  <c r="D6" i="2"/>
  <c r="B20" i="3" s="1"/>
  <c r="H20" i="3" s="1"/>
  <c r="O2" i="2"/>
  <c r="P3" i="2"/>
  <c r="R11" i="6" l="1"/>
  <c r="F6" i="2"/>
  <c r="C20" i="3" s="1"/>
  <c r="I20" i="3" s="1"/>
  <c r="P2" i="2"/>
  <c r="Q3" i="2"/>
  <c r="I6" i="2" l="1"/>
  <c r="J20" i="3" s="1"/>
  <c r="S11" i="6"/>
  <c r="T12" i="6"/>
  <c r="U12" i="6"/>
  <c r="D7" i="2"/>
  <c r="B21" i="3" s="1"/>
  <c r="H21" i="3" s="1"/>
  <c r="Q2" i="2"/>
  <c r="R3" i="2"/>
  <c r="R13" i="6" l="1"/>
  <c r="F7" i="2"/>
  <c r="C21" i="3" s="1"/>
  <c r="I21" i="3" s="1"/>
  <c r="R2" i="2"/>
  <c r="S3" i="2"/>
  <c r="I7" i="2" l="1"/>
  <c r="J21" i="3" s="1"/>
  <c r="S13" i="6"/>
  <c r="T14" i="6"/>
  <c r="U14" i="6"/>
  <c r="D9" i="2"/>
  <c r="B22" i="3" s="1"/>
  <c r="H22" i="3" s="1"/>
  <c r="S2" i="2"/>
  <c r="T3" i="2"/>
  <c r="R15" i="6" l="1"/>
  <c r="F9" i="2"/>
  <c r="C22" i="3" s="1"/>
  <c r="I22" i="3" s="1"/>
  <c r="T2" i="2"/>
  <c r="U3" i="2"/>
  <c r="I9" i="2" l="1"/>
  <c r="J22" i="3" s="1"/>
  <c r="S15" i="6"/>
  <c r="T16" i="6"/>
  <c r="U16" i="6"/>
  <c r="D10" i="2"/>
  <c r="B23" i="3" s="1"/>
  <c r="H23" i="3" s="1"/>
  <c r="U2" i="2"/>
  <c r="V3" i="2"/>
  <c r="V2" i="2" s="1"/>
  <c r="R17" i="6" l="1"/>
  <c r="F10" i="2"/>
  <c r="C23" i="3" s="1"/>
  <c r="I23" i="3" s="1"/>
  <c r="W3" i="2"/>
  <c r="I10" i="2" l="1"/>
  <c r="J23" i="3" s="1"/>
  <c r="U18" i="6"/>
  <c r="T18" i="6"/>
  <c r="S17" i="6"/>
  <c r="D11" i="2"/>
  <c r="B24" i="3" s="1"/>
  <c r="H24" i="3" s="1"/>
  <c r="W2" i="2"/>
  <c r="X3" i="2"/>
  <c r="R19" i="6" l="1"/>
  <c r="F11" i="2"/>
  <c r="X2" i="2"/>
  <c r="Y3" i="2"/>
  <c r="I11" i="2" l="1"/>
  <c r="J24" i="3" s="1"/>
  <c r="C24" i="3"/>
  <c r="I24" i="3" s="1"/>
  <c r="T20" i="6"/>
  <c r="U20" i="6"/>
  <c r="S19" i="6"/>
  <c r="D13" i="2"/>
  <c r="B25" i="3" s="1"/>
  <c r="H25" i="3" s="1"/>
  <c r="Y2" i="2"/>
  <c r="Z3" i="2"/>
  <c r="R21" i="6" l="1"/>
  <c r="F13" i="2"/>
  <c r="Z2" i="2"/>
  <c r="AA3" i="2"/>
  <c r="I13" i="2" l="1"/>
  <c r="J25" i="3" s="1"/>
  <c r="C25" i="3"/>
  <c r="I25" i="3" s="1"/>
  <c r="U22" i="6"/>
  <c r="T22" i="6"/>
  <c r="S21" i="6"/>
  <c r="D14" i="2"/>
  <c r="B26" i="3" s="1"/>
  <c r="H26" i="3" s="1"/>
  <c r="AA2" i="2"/>
  <c r="AB3" i="2"/>
  <c r="AB2" i="2" s="1"/>
  <c r="AC3" i="2" l="1"/>
  <c r="AC2" i="2" s="1"/>
  <c r="R23" i="6"/>
  <c r="F14" i="2"/>
  <c r="I14" i="2" l="1"/>
  <c r="J26" i="3" s="1"/>
  <c r="C26" i="3"/>
  <c r="I26" i="3" s="1"/>
  <c r="AD3" i="2"/>
  <c r="AD2" i="2" s="1"/>
  <c r="S23" i="6"/>
  <c r="T24" i="6"/>
  <c r="U24" i="6"/>
  <c r="D15" i="2"/>
  <c r="B27" i="3" s="1"/>
  <c r="H27" i="3" s="1"/>
  <c r="AE3" i="2" l="1"/>
  <c r="AE2" i="2" s="1"/>
  <c r="R25" i="6"/>
  <c r="F15" i="2"/>
  <c r="AF3" i="2"/>
  <c r="AF2" i="2" s="1"/>
  <c r="I15" i="2" l="1"/>
  <c r="J27" i="3" s="1"/>
  <c r="C27" i="3"/>
  <c r="I27" i="3" s="1"/>
  <c r="S25" i="6"/>
  <c r="U26" i="6"/>
  <c r="T26" i="6"/>
  <c r="D16" i="2"/>
  <c r="B28" i="3" s="1"/>
  <c r="H28" i="3" s="1"/>
  <c r="AG3" i="2"/>
  <c r="AG2" i="2" s="1"/>
  <c r="R27" i="6" l="1"/>
  <c r="F16" i="2"/>
  <c r="AH3" i="2"/>
  <c r="AH2" i="2" s="1"/>
  <c r="I16" i="2" l="1"/>
  <c r="J28" i="3" s="1"/>
  <c r="C28" i="3"/>
  <c r="I28" i="3" s="1"/>
  <c r="T28" i="6"/>
  <c r="S27" i="6"/>
  <c r="U28" i="6"/>
  <c r="D18" i="2"/>
  <c r="B29" i="3" s="1"/>
  <c r="H29" i="3" s="1"/>
  <c r="AI3" i="2"/>
  <c r="AI2" i="2" s="1"/>
  <c r="R29" i="6" l="1"/>
  <c r="F18" i="2"/>
  <c r="AJ3" i="2"/>
  <c r="AJ2" i="2" s="1"/>
  <c r="I18" i="2" l="1"/>
  <c r="J29" i="3" s="1"/>
  <c r="C29" i="3"/>
  <c r="I29" i="3" s="1"/>
  <c r="U30" i="6"/>
  <c r="T30" i="6"/>
  <c r="S29" i="6"/>
  <c r="D19" i="2"/>
  <c r="B30" i="3" s="1"/>
  <c r="H30" i="3" s="1"/>
  <c r="AK3" i="2"/>
  <c r="AK2" i="2" s="1"/>
  <c r="R31" i="6" l="1"/>
  <c r="F19" i="2"/>
  <c r="AL3" i="2"/>
  <c r="AL2" i="2" s="1"/>
  <c r="I19" i="2" l="1"/>
  <c r="J30" i="3" s="1"/>
  <c r="C30" i="3"/>
  <c r="I30" i="3" s="1"/>
  <c r="U32" i="6"/>
  <c r="S31" i="6"/>
  <c r="T32" i="6"/>
  <c r="D20" i="2"/>
  <c r="B31" i="3" s="1"/>
  <c r="H31" i="3" s="1"/>
  <c r="AM3" i="2"/>
  <c r="AM2" i="2" s="1"/>
  <c r="R33" i="6" l="1"/>
  <c r="F20" i="2"/>
  <c r="AN3" i="2"/>
  <c r="AN2" i="2" s="1"/>
  <c r="I20" i="2" l="1"/>
  <c r="J31" i="3" s="1"/>
  <c r="C31" i="3"/>
  <c r="I31" i="3" s="1"/>
  <c r="U34" i="6"/>
  <c r="S33" i="6"/>
  <c r="T34" i="6"/>
  <c r="D21" i="2"/>
  <c r="B32" i="3" s="1"/>
  <c r="H32" i="3" s="1"/>
  <c r="AO3" i="2"/>
  <c r="AO2" i="2" s="1"/>
  <c r="R35" i="6" l="1"/>
  <c r="F21" i="2"/>
  <c r="AP3" i="2"/>
  <c r="AP2" i="2" s="1"/>
  <c r="I21" i="2" l="1"/>
  <c r="J32" i="3" s="1"/>
  <c r="C32" i="3"/>
  <c r="I32" i="3" s="1"/>
  <c r="U36" i="6"/>
  <c r="T36" i="6"/>
  <c r="S35" i="6"/>
  <c r="D22" i="2"/>
  <c r="B33" i="3" s="1"/>
  <c r="H33" i="3" s="1"/>
  <c r="AQ3" i="2"/>
  <c r="AQ2" i="2" s="1"/>
  <c r="R37" i="6" l="1"/>
  <c r="F22" i="2"/>
  <c r="AR3" i="2"/>
  <c r="AR2" i="2" s="1"/>
  <c r="I22" i="2" l="1"/>
  <c r="J33" i="3" s="1"/>
  <c r="C33" i="3"/>
  <c r="I33" i="3" s="1"/>
  <c r="U38" i="6"/>
  <c r="T38" i="6"/>
  <c r="S37" i="6"/>
  <c r="D24" i="2"/>
  <c r="B34" i="3" s="1"/>
  <c r="H34" i="3" s="1"/>
  <c r="AS3" i="2"/>
  <c r="AS2" i="2" s="1"/>
  <c r="R39" i="6" l="1"/>
  <c r="F24" i="2"/>
  <c r="C34" i="3" s="1"/>
  <c r="I34" i="3" s="1"/>
  <c r="AT3" i="2"/>
  <c r="AT2" i="2" s="1"/>
  <c r="T40" i="6" l="1"/>
  <c r="U40" i="6"/>
  <c r="I24" i="2"/>
  <c r="J34" i="3" s="1"/>
  <c r="S39" i="6"/>
  <c r="D25" i="2"/>
  <c r="B35" i="3" s="1"/>
  <c r="H35" i="3" s="1"/>
  <c r="AU3" i="2"/>
  <c r="AU2" i="2" s="1"/>
  <c r="R41" i="6" l="1"/>
  <c r="F25" i="2"/>
  <c r="C35" i="3" s="1"/>
  <c r="I35" i="3" s="1"/>
  <c r="AV3" i="2"/>
  <c r="AV2" i="2" s="1"/>
  <c r="U42" i="6" l="1"/>
  <c r="T42" i="6"/>
  <c r="I25" i="2"/>
  <c r="J35" i="3" s="1"/>
  <c r="S41" i="6"/>
  <c r="D26" i="2"/>
  <c r="B36" i="3" s="1"/>
  <c r="H36" i="3" s="1"/>
  <c r="AW3" i="2"/>
  <c r="AW2" i="2" s="1"/>
  <c r="R43" i="6" l="1"/>
  <c r="F26" i="2"/>
  <c r="AX3" i="2"/>
  <c r="AX2" i="2" s="1"/>
  <c r="C36" i="3" l="1"/>
  <c r="T44" i="6"/>
  <c r="U44" i="6"/>
  <c r="I26" i="2"/>
  <c r="J36" i="3" s="1"/>
  <c r="S43" i="6"/>
  <c r="D27" i="2"/>
  <c r="AY3" i="2"/>
  <c r="AY2" i="2" s="1"/>
  <c r="I27" i="2" l="1"/>
  <c r="J37" i="3" s="1"/>
  <c r="B37" i="3"/>
  <c r="R45" i="6"/>
  <c r="F27" i="2"/>
  <c r="C37" i="3" s="1"/>
  <c r="AZ3" i="2"/>
  <c r="S45" i="6" l="1"/>
  <c r="D28" i="2"/>
  <c r="AZ2" i="2"/>
  <c r="BA3" i="2"/>
  <c r="I28" i="2" l="1"/>
  <c r="J38" i="3" s="1"/>
  <c r="B38" i="3"/>
  <c r="R47" i="6"/>
  <c r="F28" i="2"/>
  <c r="C38" i="3" s="1"/>
  <c r="BB3" i="2"/>
  <c r="BA2" i="2"/>
  <c r="S47" i="6" l="1"/>
  <c r="D30" i="2"/>
  <c r="BC3" i="2"/>
  <c r="BB2" i="2"/>
  <c r="I30" i="2" l="1"/>
  <c r="J39" i="3" s="1"/>
  <c r="B39" i="3"/>
  <c r="R49" i="6"/>
  <c r="F30" i="2"/>
  <c r="C39" i="3" s="1"/>
  <c r="BD3" i="2"/>
  <c r="BC2" i="2"/>
  <c r="S49" i="6" l="1"/>
  <c r="D31" i="2"/>
  <c r="BE3" i="2"/>
  <c r="BD2" i="2"/>
  <c r="I31" i="2" l="1"/>
  <c r="J40" i="3" s="1"/>
  <c r="B40" i="3"/>
  <c r="R51" i="6"/>
  <c r="F31" i="2"/>
  <c r="C40" i="3" s="1"/>
  <c r="BF3" i="2"/>
  <c r="BE2" i="2"/>
  <c r="S51" i="6" l="1"/>
  <c r="D32" i="2"/>
  <c r="BG3" i="2"/>
  <c r="BF2" i="2"/>
  <c r="I32" i="2" l="1"/>
  <c r="B41" i="3"/>
  <c r="F32" i="2"/>
  <c r="C41" i="3" s="1"/>
  <c r="R53" i="6"/>
  <c r="BH3" i="2"/>
  <c r="BG2" i="2"/>
  <c r="J41" i="3" l="1"/>
  <c r="I7" i="3" s="1"/>
  <c r="H7" i="3"/>
  <c r="E5" i="6" a="1"/>
  <c r="E5" i="6" s="1"/>
  <c r="C5" i="6" a="1"/>
  <c r="C5" i="6" s="1"/>
  <c r="S53" i="6"/>
  <c r="BI3" i="2"/>
  <c r="BH2" i="2"/>
  <c r="BJ3" i="2" l="1"/>
  <c r="BI2" i="2"/>
  <c r="BK3" i="2" l="1"/>
  <c r="BJ2" i="2"/>
  <c r="BL3" i="2" l="1"/>
  <c r="BK2" i="2"/>
  <c r="BM3" i="2" l="1"/>
  <c r="BL2" i="2"/>
  <c r="BN3" i="2" l="1"/>
  <c r="BM2" i="2"/>
  <c r="BO3" i="2" l="1"/>
  <c r="BN2" i="2"/>
  <c r="BP3" i="2" l="1"/>
  <c r="BO2" i="2"/>
  <c r="BQ3" i="2" l="1"/>
  <c r="BP2" i="2"/>
  <c r="BR3" i="2" l="1"/>
  <c r="BQ2" i="2"/>
  <c r="BS3" i="2" l="1"/>
  <c r="BR2" i="2"/>
  <c r="BT3" i="2" l="1"/>
  <c r="BS2" i="2"/>
  <c r="BU3" i="2" l="1"/>
  <c r="BT2" i="2"/>
  <c r="BV3" i="2" l="1"/>
  <c r="BU2" i="2"/>
  <c r="BW3" i="2" l="1"/>
  <c r="BV2" i="2"/>
  <c r="BX3" i="2" l="1"/>
  <c r="BW2" i="2"/>
  <c r="BY3" i="2" l="1"/>
  <c r="BX2" i="2"/>
  <c r="BZ3" i="2" l="1"/>
  <c r="BY2" i="2"/>
  <c r="CA3" i="2" l="1"/>
  <c r="BZ2" i="2"/>
  <c r="CB3" i="2" l="1"/>
  <c r="CA2" i="2"/>
  <c r="CC3" i="2" l="1"/>
  <c r="CB2" i="2"/>
  <c r="CD3" i="2" l="1"/>
  <c r="CC2" i="2"/>
  <c r="CE3" i="2" l="1"/>
  <c r="CD2" i="2"/>
  <c r="CF3" i="2" l="1"/>
  <c r="CE2" i="2"/>
  <c r="CG3" i="2" l="1"/>
  <c r="CF2" i="2"/>
  <c r="CH3" i="2" l="1"/>
  <c r="CG2" i="2"/>
  <c r="CI3" i="2" l="1"/>
  <c r="CH2" i="2"/>
  <c r="CJ3" i="2" l="1"/>
  <c r="CI2" i="2"/>
  <c r="CK3" i="2" l="1"/>
  <c r="CJ2" i="2"/>
  <c r="CL3" i="2" l="1"/>
  <c r="CK2" i="2"/>
  <c r="CM3" i="2" l="1"/>
  <c r="CL2" i="2"/>
  <c r="CN3" i="2" l="1"/>
  <c r="CM2" i="2"/>
  <c r="CO3" i="2" l="1"/>
  <c r="CN2" i="2"/>
  <c r="CP3" i="2" l="1"/>
  <c r="CO2" i="2"/>
  <c r="CQ3" i="2" l="1"/>
  <c r="CP2" i="2"/>
  <c r="CR3" i="2" l="1"/>
  <c r="CQ2" i="2"/>
  <c r="CR2" i="2" l="1"/>
  <c r="CS3" i="2"/>
  <c r="CS2" i="2" l="1"/>
  <c r="CT3" i="2"/>
  <c r="CT2" i="2" l="1"/>
  <c r="CU3" i="2"/>
  <c r="CU2" i="2" l="1"/>
  <c r="CV3" i="2"/>
  <c r="CV2" i="2" l="1"/>
  <c r="CW3" i="2"/>
  <c r="CW2" i="2" l="1"/>
  <c r="CX3" i="2"/>
  <c r="CX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Chavez Gonzales, Yawar Gonzalo</author>
  </authors>
  <commentList>
    <comment ref="B4" authorId="0" shapeId="0" xr:uid="{DB965253-7B7D-40A6-8D70-4421A10BD86E}">
      <text>
        <r>
          <rPr>
            <b/>
            <sz val="9"/>
            <color indexed="81"/>
            <rFont val="Tahoma"/>
            <family val="2"/>
          </rPr>
          <t>Chavez Gonzales, Yawar Gonzalo:</t>
        </r>
        <r>
          <rPr>
            <sz val="9"/>
            <color indexed="81"/>
            <rFont val="Tahoma"/>
            <family val="2"/>
          </rPr>
          <t xml:space="preserve">
Fecha base del proyecto. Por defecto: 02/01/2026 (primer día hábil de 2026).</t>
        </r>
      </text>
    </comment>
    <comment ref="B5" authorId="0" shapeId="0" xr:uid="{6D0A9FD2-A867-476E-A2B5-601AE362504B}">
      <text>
        <r>
          <rPr>
            <b/>
            <sz val="9"/>
            <color indexed="81"/>
            <rFont val="Tahoma"/>
            <family val="2"/>
          </rPr>
          <t>Chavez Gonzales, Yawar Gonzalo:</t>
        </r>
        <r>
          <rPr>
            <sz val="9"/>
            <color indexed="81"/>
            <rFont val="Tahoma"/>
            <family val="2"/>
          </rPr>
          <t xml:space="preserve">
Cantidad de días hábiles que mostrará la línea de tiempo del Gantt. Expansible: aumenta este valor y los encabezados se extienden automáticamente (la cuadrícula soporta hasta 260 columnas pre-formateadas).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<sst xmlns="http://schemas.openxmlformats.org/spreadsheetml/2006/main" count="290" uniqueCount="194">
  <si>
    <t xml:space="preserve">  Parámetros del Proyecto</t>
  </si>
  <si>
    <t>Parámetros de tiempo</t>
  </si>
  <si>
    <t>Fecha de inicio del proyecto:</t>
  </si>
  <si>
    <t>← Cambia la fecha de inicio aquí</t>
  </si>
  <si>
    <t>Horizonte (días hábiles):</t>
  </si>
  <si>
    <t>← Días hábiles a mostrar (máx. 260)</t>
  </si>
  <si>
    <t>Fecha estimada de fin:</t>
  </si>
  <si>
    <t>← Calculado con DIA.LAB excluyendo feriados</t>
  </si>
  <si>
    <t>Duración aproximada:</t>
  </si>
  <si>
    <t>Nota: el Gantt soporta hasta 260 días hábiles. Modifica B5 para expandir/contraer el horizonte.</t>
  </si>
  <si>
    <t>Feriados nacionales de Bolivia — 2026</t>
  </si>
  <si>
    <t>Fecha</t>
  </si>
  <si>
    <t>Feriado</t>
  </si>
  <si>
    <t>Día</t>
  </si>
  <si>
    <t>Notas</t>
  </si>
  <si>
    <t>Año Nuevo</t>
  </si>
  <si>
    <t>Feriado fijo</t>
  </si>
  <si>
    <t>Día del Estado Plurinacional</t>
  </si>
  <si>
    <t>22 Ene</t>
  </si>
  <si>
    <t>Carnaval (lunes)</t>
  </si>
  <si>
    <t>Carnaval (martes)</t>
  </si>
  <si>
    <t>Viernes Santo</t>
  </si>
  <si>
    <t>3 Abr</t>
  </si>
  <si>
    <t>Día del Trabajo</t>
  </si>
  <si>
    <t>Corpus Christi</t>
  </si>
  <si>
    <t>Año Nuevo Andino Amazónico</t>
  </si>
  <si>
    <t>21 Jun (domingo, no traslada)</t>
  </si>
  <si>
    <t>Día de la Independencia</t>
  </si>
  <si>
    <t>6 Ago</t>
  </si>
  <si>
    <t>Todos Santos</t>
  </si>
  <si>
    <t>2 Nov (lunes; cae do 1 Nov, traslado)</t>
  </si>
  <si>
    <t>Navidad</t>
  </si>
  <si>
    <t>25 Dic</t>
  </si>
  <si>
    <t>GANTT – GESTIÓN DOCUMENTAL (Días hábiles — Bolivia 2026)</t>
  </si>
  <si>
    <t>Línea de tiempo del proyecto — Días hábiles (Bolivia 2026)</t>
  </si>
  <si>
    <t>Fecha de inicio:</t>
  </si>
  <si>
    <t>Horizonte (d.h.):</t>
  </si>
  <si>
    <t>Fecha fin:</t>
  </si>
  <si>
    <t>% Avance:</t>
  </si>
  <si>
    <t>Fase</t>
  </si>
  <si>
    <t>Actividad</t>
  </si>
  <si>
    <t>Responsable</t>
  </si>
  <si>
    <t>Inicio</t>
  </si>
  <si>
    <t>Días (hábiles)</t>
  </si>
  <si>
    <t>Fin</t>
  </si>
  <si>
    <t>Inicio Real</t>
  </si>
  <si>
    <t>Fin Real</t>
  </si>
  <si>
    <t>Desviacion</t>
  </si>
  <si>
    <t>Peso (%)</t>
  </si>
  <si>
    <t>% Acum.</t>
  </si>
  <si>
    <t>Estado</t>
  </si>
  <si>
    <t>1. Planificación</t>
  </si>
  <si>
    <t>Definición de alcance</t>
  </si>
  <si>
    <t>PM</t>
  </si>
  <si>
    <t>Completado</t>
  </si>
  <si>
    <t>Viabilidad y recursos</t>
  </si>
  <si>
    <t>PM / Sponsor</t>
  </si>
  <si>
    <t>Cronograma inicial</t>
  </si>
  <si>
    <t>2. Requisitos</t>
  </si>
  <si>
    <t>Levantamiento con cliente</t>
  </si>
  <si>
    <t>Analista</t>
  </si>
  <si>
    <t>Documentación de requisitos</t>
  </si>
  <si>
    <t>Validación y aprobación</t>
  </si>
  <si>
    <t>PM / Cliente</t>
  </si>
  <si>
    <t>3. Diseño</t>
  </si>
  <si>
    <t>Arquitectura del sistema</t>
  </si>
  <si>
    <t>Arquitecto</t>
  </si>
  <si>
    <t>Diseño de base de datos</t>
  </si>
  <si>
    <t>DBA</t>
  </si>
  <si>
    <t>Diseño UX/UI</t>
  </si>
  <si>
    <t>Diseñador</t>
  </si>
  <si>
    <t>Revisión y aprobación</t>
  </si>
  <si>
    <t>PM / Tech Lead</t>
  </si>
  <si>
    <t>En curso</t>
  </si>
  <si>
    <t>4. Desarrollo</t>
  </si>
  <si>
    <t>Configuración de entorno</t>
  </si>
  <si>
    <t>DevOps</t>
  </si>
  <si>
    <t>Módulo de autenticación</t>
  </si>
  <si>
    <t>Dev Backend</t>
  </si>
  <si>
    <t>Pendiente</t>
  </si>
  <si>
    <t>Módulos funcionales core</t>
  </si>
  <si>
    <t>Equipo Dev</t>
  </si>
  <si>
    <t>Integraciones / APIs</t>
  </si>
  <si>
    <t>Frontend y UI</t>
  </si>
  <si>
    <t>Dev Frontend</t>
  </si>
  <si>
    <t>5. Pruebas</t>
  </si>
  <si>
    <t>Pruebas unitarias</t>
  </si>
  <si>
    <t>Dev / QA</t>
  </si>
  <si>
    <t>Pruebas de integración</t>
  </si>
  <si>
    <t>QA</t>
  </si>
  <si>
    <t>Pruebas de usuario (UAT)</t>
  </si>
  <si>
    <t>QA / Cliente</t>
  </si>
  <si>
    <t>Pruebas de ciberseguridad</t>
  </si>
  <si>
    <t>QA / DevOps</t>
  </si>
  <si>
    <t>Corrección de bugs</t>
  </si>
  <si>
    <t>Dev</t>
  </si>
  <si>
    <t>6. Despliegue</t>
  </si>
  <si>
    <t>Preparación de entorno prod.</t>
  </si>
  <si>
    <t>Pase a producción</t>
  </si>
  <si>
    <t>DevOps / PM</t>
  </si>
  <si>
    <t>Capacitación a usuarios</t>
  </si>
  <si>
    <t>REUNIÓN</t>
  </si>
  <si>
    <t>FRONTEND (Valor Visible / UX)</t>
  </si>
  <si>
    <t>BACKEND (Lógica, API y BD)</t>
  </si>
  <si>
    <t>HISTORIAS DE USUARIO</t>
  </si>
  <si>
    <t>PESO</t>
  </si>
  <si>
    <t>🟢 R1: Seguridad + Base del Sistema + Parametrización</t>
  </si>
  <si>
    <t>Login real funcional.</t>
  </si>
  <si>
    <t>Autenticación (JWT/Sanctum) y gestión de roles/permisos.</t>
  </si>
  <si>
    <t>US-1.01, US-1.02, US-1.03, US-1.04, US-1.05, US-1.06, US-1.07, US-9.02, US-9.03, US-9.04, US-9.05</t>
  </si>
  <si>
    <t>6.5 / 10</t>
  </si>
  <si>
    <t>Vistas de perfil y configuración de delegados, vacaciones y reasignación.</t>
  </si>
  <si>
    <t>CRUD de usuarios y estados temporales (vacaciones, delegados).</t>
  </si>
  <si>
    <t>Parametrización interactiva (Diccionarios, SLAs, Matrices, Plantillas).</t>
  </si>
  <si>
    <t>Endpoints para catálogos y diccionarios del sistema.</t>
  </si>
  <si>
    <t>Lógica de reasignación masiva por desvinculación.</t>
  </si>
  <si>
    <t>🔵 R2: Creación de Documento (UX completa)</t>
  </si>
  <si>
    <t>Wizard de creación paso a paso funcionando (datos, Outlook, archivos, revisores).</t>
  </si>
  <si>
    <t>Endpoints del Wizard (guardado en borrador por pasos).</t>
  </si>
  <si>
    <t>US-2.00, US-2.01, US-2.02, US-2.03, US-2.04, US-2.05, US-2.06</t>
  </si>
  <si>
    <t>7.5 / 10</t>
  </si>
  <si>
    <t>Gestión y validación visual de subida de archivos.</t>
  </si>
  <si>
    <r>
      <t xml:space="preserve">Sistema de </t>
    </r>
    <r>
      <rPr>
        <i/>
        <sz val="11"/>
        <color theme="1"/>
        <rFont val="Calibri"/>
        <family val="2"/>
        <scheme val="minor"/>
      </rPr>
      <t>Storage</t>
    </r>
    <r>
      <rPr>
        <sz val="11"/>
        <color theme="1"/>
        <rFont val="Calibri"/>
        <family val="2"/>
        <scheme val="minor"/>
      </rPr>
      <t xml:space="preserve"> (almacenamiento de archivos y plantillas).</t>
    </r>
  </si>
  <si>
    <t>Envío exitoso del borrador a ETO.</t>
  </si>
  <si>
    <t>Generador automático de correlativos.</t>
  </si>
  <si>
    <t>Creación del registro inicial en la base de datos del flujo.</t>
  </si>
  <si>
    <t>🟣 R3: Control ETO + Workflow Base</t>
  </si>
  <si>
    <t>Bandejas reactivas (Mi Bandeja y Bandeja ETO) con filtros.</t>
  </si>
  <si>
    <t>Motor de Workflow y transición de estados (En revisión, devuelto, aprobado).</t>
  </si>
  <si>
    <t>US-4.01, US-4.03, US-4.05, US-4.06, US-3.01, US-3.03, US-3.04, US-3.05</t>
  </si>
  <si>
    <t>8.5 / 10</t>
  </si>
  <si>
    <t>Vistas dinámicas para aprobación, devolución y corrección.</t>
  </si>
  <si>
    <t>Queries optimizadas para listar tareas pendientes por usuario/rol.</t>
  </si>
  <si>
    <t>Modal de modificación de flujo (rutas).</t>
  </si>
  <si>
    <t>Lógica de asignación y enrutamiento a siguientes revisores.</t>
  </si>
  <si>
    <t>🔴 R4: Office 365 + IA Similitud + SLA</t>
  </si>
  <si>
    <t>Iframe/Integración visual para edición en línea (Office 365).</t>
  </si>
  <si>
    <t>Integración con API de Microsoft Graph (Webhooks, Lock/Unlock de archivos).</t>
  </si>
  <si>
    <t>US-3.02, US-3.06, US-4.02</t>
  </si>
  <si>
    <t>9.5 / 10</t>
  </si>
  <si>
    <t>Interfaz de resultados comparativos (IA Similitud).</t>
  </si>
  <si>
    <t>Conexión con LLM/Base Vectorial para análisis de similitud de textos.</t>
  </si>
  <si>
    <t>Alertas visuales y contadores de tiempo de SLA.</t>
  </si>
  <si>
    <r>
      <t>Cronjobs / Queues</t>
    </r>
    <r>
      <rPr>
        <sz val="11"/>
        <color theme="1"/>
        <rFont val="Calibri"/>
        <family val="2"/>
        <scheme val="minor"/>
      </rPr>
      <t xml:space="preserve"> nocturnos para cálculo automático y timeout de SLAs.</t>
    </r>
  </si>
  <si>
    <t>🟠 R5: PDF Oficial + Lista Maestra</t>
  </si>
  <si>
    <t>Componente Visor PDF global renderizando documentos.</t>
  </si>
  <si>
    <t>Motor de generación PDF (marcas de agua, carimbos, unión de carátula con doc).</t>
  </si>
  <si>
    <t>US-5.01, US-5.02, US-5.03, US-5.04, US-5.05, US-5.06, US-5.07</t>
  </si>
  <si>
    <t>9.0 / 10</t>
  </si>
  <si>
    <t>Interfaz de Lista Maestra real y Lista ETO.</t>
  </si>
  <si>
    <t>Endpoints complejos con filtros avanzados para Lista Maestra.</t>
  </si>
  <si>
    <t>Vistas de documentos obsoletos y próximos a vencer.</t>
  </si>
  <si>
    <t>Jobs programados para actualización de estados (Vencido / Obsoleto).</t>
  </si>
  <si>
    <t>🟡 R6: Capacitación + Copias + BI + IA</t>
  </si>
  <si>
    <t>Formularios de exámenes y registro de capacitación.</t>
  </si>
  <si>
    <t>Lógica de calificación de evaluaciones.</t>
  </si>
  <si>
    <t>ÉPICAS 6, 7, 8 y 9 completas</t>
  </si>
  <si>
    <t>Monitor de copias controladas físicas.</t>
  </si>
  <si>
    <t>Trazabilidad y generador de marcas de agua para copias impresas.</t>
  </si>
  <si>
    <t>Dashboards, gráficos interactivos y componente de Chatbot IA.</t>
  </si>
  <si>
    <t>Consultas de agregación (Aggregate SQL) para Reportes BI.</t>
  </si>
  <si>
    <t>IA RAG Backend (Inyección de contexto BD hacia el modelo de lenguaje).</t>
  </si>
  <si>
    <t>Dashboard de Avance</t>
  </si>
  <si>
    <t>Fecha inicio</t>
  </si>
  <si>
    <t>Días hábiles</t>
  </si>
  <si>
    <t>Fecha fin</t>
  </si>
  <si>
    <t>Resumen por fase</t>
  </si>
  <si>
    <t>Actividades</t>
  </si>
  <si>
    <t>Completadas</t>
  </si>
  <si>
    <t>Peso fase</t>
  </si>
  <si>
    <t>% Completado fase</t>
  </si>
  <si>
    <t>AVANCE REAL</t>
  </si>
  <si>
    <t>TAREAS RETRASADAS</t>
  </si>
  <si>
    <t>DESVÍO PROMEDIO</t>
  </si>
  <si>
    <t>AVANCE TOTAL</t>
  </si>
  <si>
    <t>📊 Análisis Gantt: Planificado vs Real (Todas las Actividades)</t>
  </si>
  <si>
    <t>Inicio Plan.</t>
  </si>
  <si>
    <t>Fin Plan.</t>
  </si>
  <si>
    <t>Duración Plan.</t>
  </si>
  <si>
    <t>Duración Real</t>
  </si>
  <si>
    <t>Desv. Inicio</t>
  </si>
  <si>
    <t>Desv. Fin</t>
  </si>
  <si>
    <t>Desviación</t>
  </si>
  <si>
    <t>Seguimiento de Proyecto SGD</t>
  </si>
  <si>
    <t>Visualización Comparativa: Línea de Base vs. Ejecución Real</t>
  </si>
  <si>
    <t>Etiqueta</t>
  </si>
  <si>
    <t>Offset</t>
  </si>
  <si>
    <t>Plan</t>
  </si>
  <si>
    <t>RealOK</t>
  </si>
  <si>
    <t>RealLate</t>
  </si>
  <si>
    <t>Tabla de ponderaciones</t>
  </si>
  <si>
    <t>Puntos</t>
  </si>
  <si>
    <t>Acum. (%)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</si>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</sst>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/mm/yyyy"/>
    <numFmt numFmtId="165" formatCode="0.0%"/>
    <numFmt numFmtId="166" formatCode="d"/>
    <numFmt numFmtId="167" formatCode="0.0"/>
    <numFmt numFmtId="168" formatCode="[Red]\+0&quot; d&quot;;[Color10]\-0&quot; d&quot;;[Color16]&quot;0 d&quot;"/>
    <numFmt numFmtId="169" formatCode="dd/mm/yyyy;@"/>
  </numFmts>
  <fonts count="52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11"/>
      <color rgb="FF1F3864"/>
      <name val="Arial"/>
      <family val="2"/>
    </font>
    <font>
      <b/>
      <sz val="11"/>
      <color rgb="FF185FA5"/>
      <name val="Arial"/>
      <family val="2"/>
    </font>
    <font>
      <i/>
      <sz val="9"/>
      <color rgb="FF888888"/>
      <name val="Arial"/>
      <family val="2"/>
    </font>
    <font>
      <b/>
      <sz val="10"/>
      <color rgb="FF0F6E56"/>
      <name val="Arial"/>
      <family val="2"/>
    </font>
    <font>
      <b/>
      <sz val="10"/>
      <color rgb="FF533AB7"/>
      <name val="Arial"/>
      <family val="2"/>
    </font>
    <font>
      <i/>
      <sz val="9"/>
      <color rgb="FF993C1D"/>
      <name val="Arial"/>
      <family val="2"/>
    </font>
    <font>
      <b/>
      <sz val="10"/>
      <color rgb="FFFFFFFF"/>
      <name val="Arial"/>
      <family val="2"/>
    </font>
    <font>
      <b/>
      <sz val="10"/>
      <color rgb="FF1F3864"/>
      <name val="Arial"/>
      <family val="2"/>
    </font>
    <font>
      <b/>
      <sz val="10"/>
      <color rgb="FF185FA5"/>
      <name val="Arial"/>
      <family val="2"/>
    </font>
    <font>
      <sz val="9"/>
      <color rgb="FF555555"/>
      <name val="Arial"/>
      <family val="2"/>
    </font>
    <font>
      <b/>
      <sz val="10"/>
      <color rgb="FF3B6D11"/>
      <name val="Arial"/>
      <family val="2"/>
    </font>
    <font>
      <b/>
      <sz val="10"/>
      <color rgb="FFBA7517"/>
      <name val="Arial"/>
      <family val="2"/>
    </font>
    <font>
      <b/>
      <sz val="10"/>
      <color rgb="FF993C1D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10"/>
      <color rgb="FF333333"/>
      <name val="Arial"/>
      <family val="2"/>
    </font>
    <font>
      <sz val="10"/>
      <color rgb="FF555555"/>
      <name val="Arial"/>
      <family val="2"/>
    </font>
    <font>
      <b/>
      <sz val="10"/>
      <color rgb="FF333333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rgb="FF666666"/>
      <name val="Calibri"/>
      <family val="2"/>
      <scheme val="minor"/>
    </font>
    <font>
      <sz val="9"/>
      <color rgb="FF555555"/>
      <name val="Calibri"/>
      <family val="2"/>
      <scheme val="minor"/>
    </font>
    <font>
      <sz val="9"/>
      <color rgb="FF0000FF"/>
      <name val="Calibri"/>
      <family val="2"/>
      <scheme val="minor"/>
    </font>
    <font>
      <b/>
      <sz val="10"/>
      <color rgb="FF0000FF"/>
      <name val="Calibri"/>
      <family val="2"/>
      <scheme val="minor"/>
    </font>
    <font>
      <sz val="9"/>
      <color rgb="FF777777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8"/>
      <color rgb="FFFFFFFF"/>
      <name val="Calibri"/>
      <family val="2"/>
      <scheme val="minor"/>
    </font>
    <font>
      <b/>
      <sz val="9"/>
      <color rgb="FF1F3864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1F3864"/>
      <name val="Arial"/>
      <family val="2"/>
    </font>
    <font>
      <sz val="10"/>
      <color rgb="FF666666"/>
      <name val="Arial"/>
      <family val="2"/>
    </font>
    <font>
      <b/>
      <sz val="10"/>
      <color rgb="FF1F3864"/>
      <name val="Arial"/>
      <family val="2"/>
    </font>
    <font>
      <b/>
      <sz val="9"/>
      <color rgb="FF5B6FD8"/>
      <name val="Arial"/>
      <family val="2"/>
    </font>
    <font>
      <b/>
      <sz val="22"/>
      <color rgb="FF1F3864"/>
      <name val="Arial"/>
      <family val="2"/>
    </font>
    <font>
      <b/>
      <sz val="9"/>
      <color rgb="FFD14361"/>
      <name val="Arial"/>
      <family val="2"/>
    </font>
    <font>
      <b/>
      <sz val="22"/>
      <color rgb="FFD14361"/>
      <name val="Arial"/>
      <family val="2"/>
    </font>
    <font>
      <b/>
      <sz val="9"/>
      <color rgb="FF7B5BD8"/>
      <name val="Arial"/>
      <family val="2"/>
    </font>
    <font>
      <b/>
      <sz val="22"/>
      <color rgb="FF7B5BD8"/>
      <name val="Arial"/>
      <family val="2"/>
    </font>
    <font>
      <b/>
      <sz val="10"/>
      <color theme="1"/>
      <name val="Calibri"/>
      <family val="2"/>
      <scheme val="minor"/>
    </font>
    <font>
      <b/>
      <i/>
      <sz val="9"/>
      <color rgb="FF666666"/>
      <name val="Arial"/>
      <family val="2"/>
    </font>
    <font>
      <b/>
      <sz val="18"/>
      <color rgb="FF1F3864"/>
      <name val="Arial"/>
      <family val="2"/>
    </font>
    <font>
      <b/>
      <sz val="18"/>
      <color rgb="FFD14361"/>
      <name val="Arial"/>
      <family val="2"/>
    </font>
    <font>
      <b/>
      <sz val="18"/>
      <color rgb="FF7B5BD8"/>
      <name val="Arial"/>
      <family val="2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2E4057"/>
      </patternFill>
    </fill>
    <fill>
      <patternFill patternType="solid">
        <fgColor rgb="FFF5F5F5"/>
      </patternFill>
    </fill>
    <fill>
      <patternFill patternType="solid">
        <fgColor rgb="FF1F3864"/>
        <bgColor indexed="64"/>
      </patternFill>
    </fill>
    <fill>
      <patternFill patternType="solid">
        <fgColor rgb="FFF0F4F8"/>
        <bgColor indexed="64"/>
      </patternFill>
    </fill>
    <fill>
      <patternFill patternType="solid">
        <fgColor rgb="FFEAF3DE"/>
        <bgColor indexed="64"/>
      </patternFill>
    </fill>
    <fill>
      <patternFill patternType="solid">
        <fgColor rgb="FFEEEDFE"/>
        <bgColor indexed="64"/>
      </patternFill>
    </fill>
    <fill>
      <patternFill patternType="solid">
        <fgColor rgb="FF2E4057"/>
        <bgColor indexed="64"/>
      </patternFill>
    </fill>
    <fill>
      <patternFill patternType="solid">
        <fgColor rgb="FFE6F1FB"/>
        <bgColor indexed="64"/>
      </patternFill>
    </fill>
    <fill>
      <patternFill patternType="solid">
        <fgColor rgb="FF3B6D11"/>
        <bgColor indexed="64"/>
      </patternFill>
    </fill>
    <fill>
      <patternFill patternType="solid">
        <fgColor rgb="FF185FA5"/>
        <bgColor indexed="64"/>
      </patternFill>
    </fill>
    <fill>
      <patternFill patternType="solid">
        <fgColor rgb="FF533AB7"/>
        <bgColor indexed="64"/>
      </patternFill>
    </fill>
    <fill>
      <patternFill patternType="solid">
        <fgColor rgb="FFBA7517"/>
        <bgColor indexed="64"/>
      </patternFill>
    </fill>
    <fill>
      <patternFill patternType="solid">
        <fgColor rgb="FF993C1D"/>
        <bgColor indexed="64"/>
      </patternFill>
    </fill>
    <fill>
      <patternFill patternType="solid">
        <fgColor rgb="FF0F6E5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EEF1FF"/>
        <bgColor indexed="64"/>
      </patternFill>
    </fill>
    <fill>
      <patternFill patternType="solid">
        <fgColor rgb="FFFDECEF"/>
        <bgColor indexed="64"/>
      </patternFill>
    </fill>
    <fill>
      <patternFill patternType="solid">
        <fgColor rgb="FFF0ED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EEEEEE"/>
      </right>
      <top/>
      <bottom style="thin">
        <color rgb="FFEEEEEE"/>
      </bottom>
      <diagonal/>
    </border>
    <border>
      <left style="thin">
        <color rgb="FFEEEEEE"/>
      </left>
      <right style="thin">
        <color rgb="FFEEEEEE"/>
      </right>
      <top/>
      <bottom style="thin">
        <color rgb="FFEEEEEE"/>
      </bottom>
      <diagonal/>
    </border>
    <border>
      <left style="thin">
        <color rgb="FFEEEEEE"/>
      </left>
      <right/>
      <top/>
      <bottom style="thin">
        <color rgb="FFEEEEEE"/>
      </bottom>
      <diagonal/>
    </border>
    <border>
      <left/>
      <right style="thin">
        <color rgb="FFEEEEEE"/>
      </right>
      <top style="thin">
        <color rgb="FFEEEEEE"/>
      </top>
      <bottom style="thin">
        <color rgb="FFEEEEEE"/>
      </bottom>
      <diagonal/>
    </border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  <border>
      <left style="thin">
        <color rgb="FFEEEEEE"/>
      </left>
      <right/>
      <top style="thin">
        <color rgb="FFEEEEEE"/>
      </top>
      <bottom style="thin">
        <color rgb="FFEEEEEE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2" fillId="0" borderId="0" xfId="0" applyFont="1"/>
    <xf numFmtId="0" fontId="4" fillId="0" borderId="0" xfId="0" applyFont="1"/>
    <xf numFmtId="0" fontId="8" fillId="4" borderId="1" xfId="0" applyFont="1" applyFill="1" applyBorder="1" applyAlignment="1">
      <alignment horizontal="center" vertical="center"/>
    </xf>
    <xf numFmtId="165" fontId="12" fillId="3" borderId="1" xfId="0" applyNumberFormat="1" applyFont="1" applyFill="1" applyBorder="1" applyAlignment="1">
      <alignment horizontal="center" vertical="center"/>
    </xf>
    <xf numFmtId="165" fontId="10" fillId="3" borderId="1" xfId="0" applyNumberFormat="1" applyFont="1" applyFill="1" applyBorder="1" applyAlignment="1">
      <alignment horizontal="center" vertical="center"/>
    </xf>
    <xf numFmtId="165" fontId="6" fillId="3" borderId="1" xfId="0" applyNumberFormat="1" applyFont="1" applyFill="1" applyBorder="1" applyAlignment="1">
      <alignment horizontal="center" vertical="center"/>
    </xf>
    <xf numFmtId="165" fontId="13" fillId="3" borderId="1" xfId="0" applyNumberFormat="1" applyFont="1" applyFill="1" applyBorder="1" applyAlignment="1">
      <alignment horizontal="center" vertical="center"/>
    </xf>
    <xf numFmtId="165" fontId="14" fillId="3" borderId="1" xfId="0" applyNumberFormat="1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/>
    </xf>
    <xf numFmtId="0" fontId="18" fillId="3" borderId="1" xfId="0" applyFont="1" applyFill="1" applyBorder="1" applyAlignment="1">
      <alignment horizontal="left" vertical="center"/>
    </xf>
    <xf numFmtId="0" fontId="19" fillId="3" borderId="1" xfId="0" applyFont="1" applyFill="1" applyBorder="1" applyAlignment="1">
      <alignment horizontal="center" vertical="center"/>
    </xf>
    <xf numFmtId="165" fontId="19" fillId="3" borderId="1" xfId="0" applyNumberFormat="1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left" vertical="center"/>
    </xf>
    <xf numFmtId="0" fontId="18" fillId="5" borderId="1" xfId="0" applyFont="1" applyFill="1" applyBorder="1" applyAlignment="1">
      <alignment horizontal="left" vertical="center"/>
    </xf>
    <xf numFmtId="0" fontId="19" fillId="5" borderId="1" xfId="0" applyFont="1" applyFill="1" applyBorder="1" applyAlignment="1">
      <alignment horizontal="center" vertical="center"/>
    </xf>
    <xf numFmtId="165" fontId="12" fillId="5" borderId="1" xfId="0" applyNumberFormat="1" applyFont="1" applyFill="1" applyBorder="1" applyAlignment="1">
      <alignment horizontal="center" vertical="center"/>
    </xf>
    <xf numFmtId="165" fontId="19" fillId="5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/>
    </xf>
    <xf numFmtId="165" fontId="10" fillId="5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left" vertical="center"/>
    </xf>
    <xf numFmtId="165" fontId="13" fillId="5" borderId="1" xfId="0" applyNumberFormat="1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left" vertical="center"/>
    </xf>
    <xf numFmtId="165" fontId="14" fillId="5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165" fontId="5" fillId="5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65" fontId="8" fillId="2" borderId="1" xfId="0" applyNumberFormat="1" applyFont="1" applyFill="1" applyBorder="1" applyAlignment="1">
      <alignment horizontal="center" vertical="center"/>
    </xf>
    <xf numFmtId="0" fontId="21" fillId="7" borderId="0" xfId="0" applyFont="1" applyFill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5" fillId="8" borderId="0" xfId="0" applyNumberFormat="1" applyFont="1" applyFill="1" applyAlignment="1">
      <alignment horizontal="center"/>
    </xf>
    <xf numFmtId="0" fontId="6" fillId="9" borderId="0" xfId="0" applyFont="1" applyFill="1" applyAlignment="1">
      <alignment horizontal="center"/>
    </xf>
    <xf numFmtId="0" fontId="7" fillId="7" borderId="0" xfId="0" applyFont="1" applyFill="1"/>
    <xf numFmtId="0" fontId="8" fillId="10" borderId="0" xfId="0" applyFont="1" applyFill="1" applyAlignment="1">
      <alignment horizontal="center"/>
    </xf>
    <xf numFmtId="164" fontId="25" fillId="0" borderId="0" xfId="0" applyNumberFormat="1" applyFont="1" applyAlignment="1">
      <alignment horizontal="center"/>
    </xf>
    <xf numFmtId="0" fontId="24" fillId="0" borderId="0" xfId="0" applyFont="1" applyAlignment="1">
      <alignment horizontal="center"/>
    </xf>
    <xf numFmtId="0" fontId="8" fillId="12" borderId="0" xfId="0" applyFont="1" applyFill="1" applyAlignment="1">
      <alignment horizontal="left"/>
    </xf>
    <xf numFmtId="0" fontId="8" fillId="13" borderId="0" xfId="0" applyFont="1" applyFill="1" applyAlignment="1">
      <alignment horizontal="left"/>
    </xf>
    <xf numFmtId="0" fontId="8" fillId="14" borderId="0" xfId="0" applyFont="1" applyFill="1" applyAlignment="1">
      <alignment horizontal="left"/>
    </xf>
    <xf numFmtId="0" fontId="8" fillId="15" borderId="0" xfId="0" applyFont="1" applyFill="1" applyAlignment="1">
      <alignment horizontal="left"/>
    </xf>
    <xf numFmtId="0" fontId="8" fillId="16" borderId="0" xfId="0" applyFont="1" applyFill="1" applyAlignment="1">
      <alignment horizontal="left"/>
    </xf>
    <xf numFmtId="0" fontId="8" fillId="17" borderId="0" xfId="0" applyFont="1" applyFill="1" applyAlignment="1">
      <alignment horizontal="left"/>
    </xf>
    <xf numFmtId="0" fontId="21" fillId="0" borderId="0" xfId="0" applyFont="1" applyAlignment="1">
      <alignment horizontal="left"/>
    </xf>
    <xf numFmtId="0" fontId="27" fillId="0" borderId="0" xfId="0" applyFont="1" applyAlignment="1">
      <alignment horizontal="center"/>
    </xf>
    <xf numFmtId="164" fontId="28" fillId="0" borderId="0" xfId="0" applyNumberFormat="1" applyFont="1" applyAlignment="1">
      <alignment horizontal="center"/>
    </xf>
    <xf numFmtId="164" fontId="24" fillId="0" borderId="0" xfId="0" applyNumberFormat="1" applyFont="1" applyAlignment="1">
      <alignment horizontal="center"/>
    </xf>
    <xf numFmtId="0" fontId="29" fillId="0" borderId="0" xfId="0" applyFont="1" applyAlignment="1">
      <alignment horizontal="center"/>
    </xf>
    <xf numFmtId="165" fontId="20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0" fillId="0" borderId="0" xfId="0" applyFont="1" applyAlignment="1">
      <alignment horizontal="center"/>
    </xf>
    <xf numFmtId="0" fontId="0" fillId="18" borderId="5" xfId="0" applyFill="1" applyBorder="1"/>
    <xf numFmtId="0" fontId="0" fillId="18" borderId="6" xfId="0" applyFill="1" applyBorder="1"/>
    <xf numFmtId="0" fontId="0" fillId="18" borderId="7" xfId="0" applyFill="1" applyBorder="1"/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64" fontId="10" fillId="0" borderId="0" xfId="0" applyNumberFormat="1" applyFont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64" fontId="24" fillId="20" borderId="0" xfId="0" applyNumberFormat="1" applyFont="1" applyFill="1" applyAlignment="1">
      <alignment horizontal="center"/>
    </xf>
    <xf numFmtId="0" fontId="0" fillId="0" borderId="8" xfId="0" applyBorder="1"/>
    <xf numFmtId="0" fontId="35" fillId="19" borderId="8" xfId="0" applyFont="1" applyFill="1" applyBorder="1" applyAlignment="1">
      <alignment horizontal="center"/>
    </xf>
    <xf numFmtId="0" fontId="35" fillId="19" borderId="9" xfId="0" applyFont="1" applyFill="1" applyBorder="1" applyAlignment="1">
      <alignment horizontal="center"/>
    </xf>
    <xf numFmtId="0" fontId="0" fillId="22" borderId="8" xfId="0" applyFill="1" applyBorder="1"/>
    <xf numFmtId="0" fontId="0" fillId="22" borderId="9" xfId="0" applyFill="1" applyBorder="1"/>
    <xf numFmtId="0" fontId="36" fillId="18" borderId="0" xfId="0" applyFont="1" applyFill="1" applyAlignment="1">
      <alignment horizontal="left"/>
    </xf>
    <xf numFmtId="0" fontId="37" fillId="18" borderId="0" xfId="0" applyFont="1" applyFill="1"/>
    <xf numFmtId="0" fontId="38" fillId="18" borderId="0" xfId="0" applyFont="1" applyFill="1" applyAlignment="1">
      <alignment horizontal="right"/>
    </xf>
    <xf numFmtId="0" fontId="39" fillId="23" borderId="0" xfId="0" applyFont="1" applyFill="1" applyAlignment="1">
      <alignment horizontal="left"/>
    </xf>
    <xf numFmtId="165" fontId="40" fillId="23" borderId="0" xfId="0" applyNumberFormat="1" applyFont="1" applyFill="1" applyAlignment="1">
      <alignment horizontal="left"/>
    </xf>
    <xf numFmtId="0" fontId="41" fillId="24" borderId="0" xfId="0" applyFont="1" applyFill="1" applyAlignment="1">
      <alignment horizontal="left"/>
    </xf>
    <xf numFmtId="0" fontId="42" fillId="24" borderId="0" xfId="0" applyFont="1" applyFill="1" applyAlignment="1">
      <alignment horizontal="left"/>
    </xf>
    <xf numFmtId="0" fontId="43" fillId="25" borderId="0" xfId="0" applyFont="1" applyFill="1" applyAlignment="1">
      <alignment horizontal="left"/>
    </xf>
    <xf numFmtId="0" fontId="44" fillId="25" borderId="0" xfId="0" applyFont="1" applyFill="1" applyAlignment="1">
      <alignment horizontal="left"/>
    </xf>
    <xf numFmtId="0" fontId="46" fillId="26" borderId="10" xfId="0" applyFont="1" applyFill="1" applyBorder="1" applyAlignment="1">
      <alignment horizontal="center"/>
    </xf>
    <xf numFmtId="168" fontId="45" fillId="20" borderId="0" xfId="0" applyNumberFormat="1" applyFont="1" applyFill="1" applyAlignment="1">
      <alignment horizontal="center"/>
    </xf>
    <xf numFmtId="0" fontId="0" fillId="0" borderId="0" xfId="0" applyAlignment="1">
      <alignment vertical="center"/>
    </xf>
    <xf numFmtId="0" fontId="16" fillId="6" borderId="0" xfId="0" applyFont="1" applyFill="1" applyAlignment="1">
      <alignment horizontal="center" vertical="center"/>
    </xf>
    <xf numFmtId="165" fontId="16" fillId="17" borderId="0" xfId="0" applyNumberFormat="1" applyFont="1" applyFill="1" applyAlignment="1">
      <alignment horizontal="center" vertical="center"/>
    </xf>
    <xf numFmtId="0" fontId="9" fillId="8" borderId="0" xfId="0" applyFont="1" applyFill="1" applyAlignment="1">
      <alignment horizontal="left" vertical="center"/>
    </xf>
    <xf numFmtId="164" fontId="5" fillId="8" borderId="0" xfId="0" applyNumberFormat="1" applyFont="1" applyFill="1" applyAlignment="1">
      <alignment horizontal="center" vertical="center"/>
    </xf>
    <xf numFmtId="0" fontId="9" fillId="11" borderId="0" xfId="0" applyFont="1" applyFill="1" applyAlignment="1">
      <alignment horizontal="left" vertical="center"/>
    </xf>
    <xf numFmtId="0" fontId="10" fillId="11" borderId="0" xfId="0" applyFont="1" applyFill="1" applyAlignment="1">
      <alignment horizontal="center" vertical="center"/>
    </xf>
    <xf numFmtId="165" fontId="5" fillId="8" borderId="0" xfId="0" applyNumberFormat="1" applyFont="1" applyFill="1" applyAlignment="1">
      <alignment horizontal="center" vertical="center"/>
    </xf>
    <xf numFmtId="0" fontId="33" fillId="11" borderId="0" xfId="0" applyFont="1" applyFill="1" applyAlignment="1">
      <alignment horizontal="left" vertical="center"/>
    </xf>
    <xf numFmtId="0" fontId="8" fillId="10" borderId="0" xfId="0" applyFont="1" applyFill="1" applyAlignment="1">
      <alignment horizontal="center" vertical="center"/>
    </xf>
    <xf numFmtId="0" fontId="8" fillId="19" borderId="0" xfId="0" applyFont="1" applyFill="1" applyAlignment="1">
      <alignment horizontal="center" vertical="center"/>
    </xf>
    <xf numFmtId="166" fontId="32" fillId="10" borderId="0" xfId="0" applyNumberFormat="1" applyFont="1" applyFill="1" applyAlignment="1">
      <alignment horizontal="center" vertical="center"/>
    </xf>
    <xf numFmtId="0" fontId="1" fillId="6" borderId="0" xfId="0" applyFont="1" applyFill="1" applyAlignment="1">
      <alignment vertical="center"/>
    </xf>
    <xf numFmtId="0" fontId="26" fillId="0" borderId="0" xfId="0" applyFont="1" applyAlignment="1">
      <alignment horizontal="left"/>
    </xf>
    <xf numFmtId="16" fontId="26" fillId="0" borderId="0" xfId="0" applyNumberFormat="1" applyFont="1" applyAlignment="1">
      <alignment horizontal="left"/>
    </xf>
    <xf numFmtId="169" fontId="0" fillId="22" borderId="8" xfId="0" applyNumberFormat="1" applyFill="1" applyBorder="1"/>
    <xf numFmtId="169" fontId="0" fillId="0" borderId="8" xfId="0" applyNumberFormat="1" applyBorder="1"/>
    <xf numFmtId="0" fontId="50" fillId="27" borderId="11" xfId="0" applyFont="1" applyFill="1" applyBorder="1" applyAlignment="1">
      <alignment horizontal="center" vertical="center" wrapText="1"/>
    </xf>
    <xf numFmtId="0" fontId="50" fillId="27" borderId="12" xfId="0" applyFont="1" applyFill="1" applyBorder="1" applyAlignment="1">
      <alignment horizontal="center" vertical="center" wrapText="1"/>
    </xf>
    <xf numFmtId="0" fontId="50" fillId="27" borderId="13" xfId="0" applyFont="1" applyFill="1" applyBorder="1" applyAlignment="1">
      <alignment horizontal="center" vertical="center" wrapText="1"/>
    </xf>
    <xf numFmtId="0" fontId="50" fillId="27" borderId="14" xfId="0" applyFont="1" applyFill="1" applyBorder="1" applyAlignment="1">
      <alignment horizontal="center" vertical="center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51" fillId="0" borderId="25" xfId="0" applyFont="1" applyBorder="1" applyAlignment="1">
      <alignment vertical="center" wrapText="1"/>
    </xf>
    <xf numFmtId="0" fontId="0" fillId="28" borderId="25" xfId="0" applyFill="1" applyBorder="1" applyAlignment="1">
      <alignment vertical="center" wrapText="1"/>
    </xf>
    <xf numFmtId="0" fontId="20" fillId="0" borderId="15" xfId="0" applyFont="1" applyBorder="1" applyAlignment="1">
      <alignment vertical="center" wrapText="1"/>
    </xf>
    <xf numFmtId="0" fontId="20" fillId="0" borderId="19" xfId="0" applyFont="1" applyBorder="1" applyAlignment="1">
      <alignment vertical="center" wrapText="1"/>
    </xf>
    <xf numFmtId="0" fontId="20" fillId="0" borderId="23" xfId="0" applyFont="1" applyBorder="1" applyAlignment="1">
      <alignment vertical="center" wrapText="1"/>
    </xf>
    <xf numFmtId="0" fontId="20" fillId="0" borderId="16" xfId="0" applyFont="1" applyBorder="1" applyAlignment="1">
      <alignment vertical="center" wrapText="1"/>
    </xf>
    <xf numFmtId="0" fontId="20" fillId="0" borderId="20" xfId="0" applyFont="1" applyBorder="1" applyAlignment="1">
      <alignment vertical="center" wrapText="1"/>
    </xf>
    <xf numFmtId="0" fontId="20" fillId="0" borderId="24" xfId="0" applyFont="1" applyBorder="1" applyAlignment="1">
      <alignment vertical="center" wrapText="1"/>
    </xf>
    <xf numFmtId="0" fontId="20" fillId="0" borderId="18" xfId="0" applyFont="1" applyBorder="1" applyAlignment="1">
      <alignment vertical="center" wrapText="1"/>
    </xf>
    <xf numFmtId="0" fontId="20" fillId="0" borderId="22" xfId="0" applyFont="1" applyBorder="1" applyAlignment="1">
      <alignment vertical="center" wrapText="1"/>
    </xf>
    <xf numFmtId="0" fontId="20" fillId="0" borderId="26" xfId="0" applyFont="1" applyBorder="1" applyAlignment="1">
      <alignment vertical="center" wrapText="1"/>
    </xf>
    <xf numFmtId="0" fontId="8" fillId="17" borderId="0" xfId="0" applyFont="1" applyFill="1" applyAlignment="1">
      <alignment horizontal="left"/>
    </xf>
    <xf numFmtId="164" fontId="8" fillId="20" borderId="0" xfId="0" applyNumberFormat="1" applyFont="1" applyFill="1" applyAlignment="1">
      <alignment horizontal="center"/>
    </xf>
    <xf numFmtId="168" fontId="8" fillId="20" borderId="0" xfId="0" applyNumberFormat="1" applyFont="1" applyFill="1" applyAlignment="1">
      <alignment horizontal="center"/>
    </xf>
    <xf numFmtId="0" fontId="31" fillId="6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5" fillId="6" borderId="0" xfId="0" applyFont="1" applyFill="1" applyAlignment="1">
      <alignment horizontal="left" vertical="center"/>
    </xf>
    <xf numFmtId="0" fontId="8" fillId="12" borderId="0" xfId="0" applyFont="1" applyFill="1" applyAlignment="1">
      <alignment horizontal="left"/>
    </xf>
    <xf numFmtId="0" fontId="8" fillId="13" borderId="0" xfId="0" applyFont="1" applyFill="1" applyAlignment="1">
      <alignment horizontal="left"/>
    </xf>
    <xf numFmtId="0" fontId="8" fillId="14" borderId="0" xfId="0" applyFont="1" applyFill="1" applyAlignment="1">
      <alignment horizontal="left"/>
    </xf>
    <xf numFmtId="0" fontId="8" fillId="15" borderId="0" xfId="0" applyFont="1" applyFill="1" applyAlignment="1">
      <alignment horizontal="left"/>
    </xf>
    <xf numFmtId="0" fontId="8" fillId="16" borderId="0" xfId="0" applyFont="1" applyFill="1" applyAlignment="1">
      <alignment horizontal="left"/>
    </xf>
    <xf numFmtId="167" fontId="49" fillId="25" borderId="0" xfId="0" applyNumberFormat="1" applyFont="1" applyFill="1" applyAlignment="1">
      <alignment horizontal="center" vertical="center"/>
    </xf>
    <xf numFmtId="0" fontId="34" fillId="21" borderId="0" xfId="0" applyFont="1" applyFill="1" applyAlignment="1">
      <alignment horizontal="center"/>
    </xf>
    <xf numFmtId="0" fontId="0" fillId="0" borderId="0" xfId="0"/>
    <xf numFmtId="0" fontId="15" fillId="6" borderId="0" xfId="0" applyFont="1" applyFill="1" applyAlignment="1">
      <alignment horizontal="center" vertical="center"/>
    </xf>
    <xf numFmtId="0" fontId="39" fillId="23" borderId="0" xfId="0" applyFont="1" applyFill="1" applyAlignment="1">
      <alignment horizontal="center" vertical="center" wrapText="1"/>
    </xf>
    <xf numFmtId="0" fontId="41" fillId="24" borderId="0" xfId="0" applyFont="1" applyFill="1" applyAlignment="1">
      <alignment horizontal="center" vertical="center" wrapText="1"/>
    </xf>
    <xf numFmtId="0" fontId="43" fillId="25" borderId="0" xfId="0" applyFont="1" applyFill="1" applyAlignment="1">
      <alignment horizontal="center" vertical="center" wrapText="1"/>
    </xf>
    <xf numFmtId="165" fontId="47" fillId="23" borderId="0" xfId="0" applyNumberFormat="1" applyFont="1" applyFill="1" applyAlignment="1">
      <alignment horizontal="center" vertical="center"/>
    </xf>
    <xf numFmtId="0" fontId="48" fillId="24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35">
    <dxf>
      <font>
        <color rgb="FF595959"/>
      </font>
      <fill>
        <patternFill patternType="solid">
          <fgColor indexed="64"/>
          <bgColor rgb="FFD9D9D9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1F4E79"/>
      </font>
      <fill>
        <patternFill patternType="solid">
          <fgColor indexed="64"/>
          <bgColor rgb="FFBDD7E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F6E56"/>
      </font>
      <fill>
        <patternFill patternType="solid">
          <fgColor indexed="64"/>
          <bgColor rgb="FF0F6E56"/>
        </patternFill>
      </fill>
    </dxf>
    <dxf>
      <font>
        <color rgb="FF185FA5"/>
      </font>
      <fill>
        <patternFill patternType="solid">
          <fgColor indexed="64"/>
          <bgColor rgb="FF185FA5"/>
        </patternFill>
      </fill>
    </dxf>
    <dxf>
      <font>
        <color rgb="FFA9C5E8"/>
      </font>
      <fill>
        <patternFill patternType="solid">
          <fgColor indexed="64"/>
          <bgColor rgb="FFA9C5E8"/>
        </patternFill>
      </fill>
    </dxf>
    <dxf>
      <fill>
        <patternFill patternType="solid">
          <fgColor indexed="64"/>
          <bgColor rgb="FF0F6E56"/>
        </patternFill>
      </fill>
    </dxf>
    <dxf>
      <font>
        <color rgb="FF0F6E56"/>
      </font>
      <fill>
        <patternFill patternType="solid">
          <fgColor indexed="64"/>
          <bgColor rgb="FF0F6E56"/>
        </patternFill>
      </fill>
    </dxf>
    <dxf>
      <font>
        <color rgb="FF185FA5"/>
      </font>
      <fill>
        <patternFill patternType="solid">
          <fgColor indexed="64"/>
          <bgColor rgb="FF185FA5"/>
        </patternFill>
      </fill>
    </dxf>
    <dxf>
      <font>
        <color rgb="FFA9C5E8"/>
      </font>
      <fill>
        <patternFill patternType="solid">
          <fgColor indexed="64"/>
          <bgColor rgb="FFA9C5E8"/>
        </patternFill>
      </fill>
    </dxf>
    <dxf>
      <fill>
        <patternFill patternType="solid">
          <fgColor indexed="64"/>
          <bgColor rgb="FF993C1D"/>
        </patternFill>
      </fill>
    </dxf>
    <dxf>
      <font>
        <color rgb="FF0F6E56"/>
      </font>
      <fill>
        <patternFill patternType="solid">
          <fgColor indexed="64"/>
          <bgColor rgb="FF0F6E56"/>
        </patternFill>
      </fill>
    </dxf>
    <dxf>
      <font>
        <color rgb="FF185FA5"/>
      </font>
      <fill>
        <patternFill patternType="solid">
          <fgColor indexed="64"/>
          <bgColor rgb="FF185FA5"/>
        </patternFill>
      </fill>
    </dxf>
    <dxf>
      <font>
        <color rgb="FFA9C5E8"/>
      </font>
      <fill>
        <patternFill patternType="solid">
          <fgColor indexed="64"/>
          <bgColor rgb="FFA9C5E8"/>
        </patternFill>
      </fill>
    </dxf>
    <dxf>
      <fill>
        <patternFill patternType="solid">
          <fgColor indexed="64"/>
          <bgColor rgb="FFBA7517"/>
        </patternFill>
      </fill>
    </dxf>
    <dxf>
      <font>
        <color rgb="FF0F6E56"/>
      </font>
      <fill>
        <patternFill patternType="solid">
          <fgColor indexed="64"/>
          <bgColor rgb="FF0F6E56"/>
        </patternFill>
      </fill>
    </dxf>
    <dxf>
      <font>
        <color rgb="FF185FA5"/>
      </font>
      <fill>
        <patternFill patternType="solid">
          <fgColor indexed="64"/>
          <bgColor rgb="FF185FA5"/>
        </patternFill>
      </fill>
    </dxf>
    <dxf>
      <font>
        <color rgb="FFA9C5E8"/>
      </font>
      <fill>
        <patternFill patternType="solid">
          <fgColor indexed="64"/>
          <bgColor rgb="FFA9C5E8"/>
        </patternFill>
      </fill>
    </dxf>
    <dxf>
      <fill>
        <patternFill patternType="solid">
          <fgColor indexed="64"/>
          <bgColor rgb="FF533AB7"/>
        </patternFill>
      </fill>
    </dxf>
    <dxf>
      <font>
        <color rgb="FF0F6E56"/>
      </font>
      <fill>
        <patternFill patternType="solid">
          <fgColor indexed="64"/>
          <bgColor rgb="FF0F6E56"/>
        </patternFill>
      </fill>
    </dxf>
    <dxf>
      <font>
        <color rgb="FF185FA5"/>
      </font>
      <fill>
        <patternFill patternType="solid">
          <fgColor indexed="64"/>
          <bgColor rgb="FF185FA5"/>
        </patternFill>
      </fill>
    </dxf>
    <dxf>
      <font>
        <color rgb="FFA9C5E8"/>
      </font>
      <fill>
        <patternFill patternType="solid">
          <fgColor indexed="64"/>
          <bgColor rgb="FFA9C5E8"/>
        </patternFill>
      </fill>
    </dxf>
    <dxf>
      <fill>
        <patternFill patternType="solid">
          <fgColor indexed="64"/>
          <bgColor rgb="FF185FA5"/>
        </patternFill>
      </fill>
    </dxf>
    <dxf>
      <font>
        <color rgb="FF0F6E56"/>
      </font>
      <fill>
        <patternFill patternType="solid">
          <fgColor indexed="64"/>
          <bgColor rgb="FF0F6E56"/>
        </patternFill>
      </fill>
    </dxf>
    <dxf>
      <font>
        <color rgb="FF185FA5"/>
      </font>
      <fill>
        <patternFill patternType="solid">
          <fgColor indexed="64"/>
          <bgColor rgb="FF185FA5"/>
        </patternFill>
      </fill>
    </dxf>
    <dxf>
      <font>
        <color rgb="FFA9C5E8"/>
      </font>
      <fill>
        <patternFill patternType="solid">
          <fgColor indexed="64"/>
          <bgColor rgb="FFA9C5E8"/>
        </patternFill>
      </fill>
    </dxf>
    <dxf>
      <fill>
        <patternFill patternType="solid">
          <fgColor indexed="64"/>
          <bgColor rgb="FFFCE4D6"/>
        </patternFill>
      </fill>
    </dxf>
    <dxf>
      <fill>
        <patternFill patternType="solid">
          <fgColor indexed="64"/>
          <bgColor rgb="FFF2F2F2"/>
        </patternFill>
      </fill>
    </dxf>
    <dxf>
      <fill>
        <patternFill patternType="solid">
          <fgColor indexed="64"/>
          <bgColor rgb="FF3B6D11"/>
        </patternFill>
      </fill>
    </dxf>
    <dxf>
      <fill>
        <patternFill patternType="solid">
          <fgColor indexed="64"/>
          <bgColor rgb="FFFFC000"/>
        </patternFill>
      </fill>
    </dxf>
    <dxf>
      <font>
        <color rgb="FF185FA5"/>
      </font>
      <fill>
        <patternFill patternType="solid">
          <fgColor indexed="64"/>
          <bgColor rgb="FFC5DEFA"/>
        </patternFill>
      </fill>
    </dxf>
    <dxf>
      <font>
        <color rgb="FF3B6D11"/>
      </font>
      <fill>
        <patternFill patternType="solid">
          <fgColor indexed="64"/>
          <bgColor rgb="FFD4EDB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📈 Desviaciones por Actividad (días)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Dashboard!$J$18</c:f>
              <c:strCache>
                <c:ptCount val="1"/>
                <c:pt idx="0">
                  <c:v>Desviación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5"/>
            <c:dispRSqr val="0"/>
            <c:dispEq val="0"/>
          </c:trendline>
          <c:cat>
            <c:strRef>
              <c:f>Dashboard!$A$19:$A$41</c:f>
              <c:strCache>
                <c:ptCount val="23"/>
                <c:pt idx="0">
                  <c:v>Definición de alcance</c:v>
                </c:pt>
                <c:pt idx="1">
                  <c:v>Viabilidad y recursos</c:v>
                </c:pt>
                <c:pt idx="2">
                  <c:v>Cronograma inicial</c:v>
                </c:pt>
                <c:pt idx="3">
                  <c:v>Levantamiento con cliente</c:v>
                </c:pt>
                <c:pt idx="4">
                  <c:v>Documentación de requisitos</c:v>
                </c:pt>
                <c:pt idx="5">
                  <c:v>Validación y aprobación</c:v>
                </c:pt>
                <c:pt idx="6">
                  <c:v>Arquitectura del sistema</c:v>
                </c:pt>
                <c:pt idx="7">
                  <c:v>Diseño de base de datos</c:v>
                </c:pt>
                <c:pt idx="8">
                  <c:v>Diseño UX/UI</c:v>
                </c:pt>
                <c:pt idx="9">
                  <c:v>Revisión y aprobación</c:v>
                </c:pt>
                <c:pt idx="10">
                  <c:v>Configuración de entorno</c:v>
                </c:pt>
                <c:pt idx="11">
                  <c:v>Módulo de autenticación</c:v>
                </c:pt>
                <c:pt idx="12">
                  <c:v>Módulos funcionales core</c:v>
                </c:pt>
                <c:pt idx="13">
                  <c:v>Integraciones / APIs</c:v>
                </c:pt>
                <c:pt idx="14">
                  <c:v>Frontend y UI</c:v>
                </c:pt>
                <c:pt idx="15">
                  <c:v>Pruebas unitarias</c:v>
                </c:pt>
                <c:pt idx="16">
                  <c:v>Pruebas de integración</c:v>
                </c:pt>
                <c:pt idx="17">
                  <c:v>Pruebas de usuario (UAT)</c:v>
                </c:pt>
                <c:pt idx="18">
                  <c:v>Pruebas de ciberseguridad</c:v>
                </c:pt>
                <c:pt idx="19">
                  <c:v>Corrección de bugs</c:v>
                </c:pt>
                <c:pt idx="20">
                  <c:v>Preparación de entorno prod.</c:v>
                </c:pt>
                <c:pt idx="21">
                  <c:v>Pase a producción</c:v>
                </c:pt>
                <c:pt idx="22">
                  <c:v>Capacitación a usuarios</c:v>
                </c:pt>
              </c:strCache>
            </c:strRef>
          </c:cat>
          <c:val>
            <c:numRef>
              <c:f>Dashboard!$J$19:$J$41</c:f>
              <c:numCache>
                <c:formatCode>General</c:formatCode>
                <c:ptCount val="23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  <c:pt idx="8">
                  <c:v>-3</c:v>
                </c:pt>
                <c:pt idx="9">
                  <c:v>17</c:v>
                </c:pt>
                <c:pt idx="10">
                  <c:v>-6</c:v>
                </c:pt>
                <c:pt idx="11">
                  <c:v>14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00B05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5236-4317-A408-7D79F90D9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9927615"/>
        <c:axId val="749938175"/>
      </c:barChart>
      <c:catAx>
        <c:axId val="7499276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49938175"/>
        <c:crosses val="autoZero"/>
        <c:auto val="1"/>
        <c:lblAlgn val="ctr"/>
        <c:lblOffset val="100"/>
        <c:noMultiLvlLbl val="0"/>
      </c:catAx>
      <c:valAx>
        <c:axId val="74993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49927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1F386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Línea de Base vs. Ejecución Real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1F3864"/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Offset</c:v>
          </c:tx>
          <c:spPr>
            <a:solidFill>
              <a:srgbClr val="FFFFFF"/>
            </a:solidFill>
            <a:ln>
              <a:noFill/>
            </a:ln>
            <a:effectLst/>
          </c:spPr>
          <c:invertIfNegative val="0"/>
          <c:cat>
            <c:strRef>
              <c:f>Dashboard2!$Q$9:$Q$54</c:f>
              <c:strCache>
                <c:ptCount val="46"/>
                <c:pt idx="0">
                  <c:v>Definición de alcance (P)</c:v>
                </c:pt>
                <c:pt idx="1">
                  <c:v>Definición de alcance (R)</c:v>
                </c:pt>
                <c:pt idx="2">
                  <c:v>Viabilidad y recursos (P)</c:v>
                </c:pt>
                <c:pt idx="3">
                  <c:v>Viabilidad y recursos (R)</c:v>
                </c:pt>
                <c:pt idx="4">
                  <c:v>Cronograma inicial (P)</c:v>
                </c:pt>
                <c:pt idx="5">
                  <c:v>Cronograma inicial (R)</c:v>
                </c:pt>
                <c:pt idx="6">
                  <c:v>Levantamiento con cliente (P)</c:v>
                </c:pt>
                <c:pt idx="7">
                  <c:v>Levantamiento con cliente (R)</c:v>
                </c:pt>
                <c:pt idx="8">
                  <c:v>Documentación de requisitos (P)</c:v>
                </c:pt>
                <c:pt idx="9">
                  <c:v>Documentación de requisitos (R)</c:v>
                </c:pt>
                <c:pt idx="10">
                  <c:v>Validación y aprobación (P)</c:v>
                </c:pt>
                <c:pt idx="11">
                  <c:v>Validación y aprobación (R)</c:v>
                </c:pt>
                <c:pt idx="12">
                  <c:v>Arquitectura del sistema (P)</c:v>
                </c:pt>
                <c:pt idx="13">
                  <c:v>Arquitectura del sistema (R)</c:v>
                </c:pt>
                <c:pt idx="14">
                  <c:v>Diseño de base de datos (P)</c:v>
                </c:pt>
                <c:pt idx="15">
                  <c:v>Diseño de base de datos (R)</c:v>
                </c:pt>
                <c:pt idx="16">
                  <c:v>Diseño UX/UI (P)</c:v>
                </c:pt>
                <c:pt idx="17">
                  <c:v>Diseño UX/UI (R)</c:v>
                </c:pt>
                <c:pt idx="18">
                  <c:v>Revisión y aprobación (P)</c:v>
                </c:pt>
                <c:pt idx="19">
                  <c:v>Revisión y aprobación (R)</c:v>
                </c:pt>
                <c:pt idx="20">
                  <c:v>Configuración de entorno (P)</c:v>
                </c:pt>
                <c:pt idx="21">
                  <c:v>Configuración de entorno (R)</c:v>
                </c:pt>
                <c:pt idx="22">
                  <c:v>Módulo de autenticación (P)</c:v>
                </c:pt>
                <c:pt idx="23">
                  <c:v>Módulo de autenticación (R)</c:v>
                </c:pt>
                <c:pt idx="24">
                  <c:v>Módulos funcionales core (P)</c:v>
                </c:pt>
                <c:pt idx="25">
                  <c:v>Módulos funcionales core (R)</c:v>
                </c:pt>
                <c:pt idx="26">
                  <c:v>Integraciones / APIs (P)</c:v>
                </c:pt>
                <c:pt idx="27">
                  <c:v>Integraciones / APIs (R)</c:v>
                </c:pt>
                <c:pt idx="28">
                  <c:v>Frontend y UI (P)</c:v>
                </c:pt>
                <c:pt idx="29">
                  <c:v>Frontend y UI (R)</c:v>
                </c:pt>
                <c:pt idx="30">
                  <c:v>Pruebas unitarias (P)</c:v>
                </c:pt>
                <c:pt idx="31">
                  <c:v>Pruebas unitarias (R)</c:v>
                </c:pt>
                <c:pt idx="32">
                  <c:v>Pruebas de integración (P)</c:v>
                </c:pt>
                <c:pt idx="33">
                  <c:v>Pruebas de integración (R)</c:v>
                </c:pt>
                <c:pt idx="34">
                  <c:v>Pruebas de usuario (UAT) (P)</c:v>
                </c:pt>
                <c:pt idx="35">
                  <c:v>Pruebas de usuario (UAT) (R)</c:v>
                </c:pt>
                <c:pt idx="36">
                  <c:v>Pruebas de ciberseguridad (P)</c:v>
                </c:pt>
                <c:pt idx="37">
                  <c:v>Pruebas de ciberseguridad (R)</c:v>
                </c:pt>
                <c:pt idx="38">
                  <c:v>Corrección de bugs (P)</c:v>
                </c:pt>
                <c:pt idx="39">
                  <c:v>Corrección de bugs (R)</c:v>
                </c:pt>
                <c:pt idx="40">
                  <c:v>Preparación de entorno prod. (P)</c:v>
                </c:pt>
                <c:pt idx="41">
                  <c:v>Preparación de entorno prod. (R)</c:v>
                </c:pt>
                <c:pt idx="42">
                  <c:v>Pase a producción (P)</c:v>
                </c:pt>
                <c:pt idx="43">
                  <c:v>Pase a producción (R)</c:v>
                </c:pt>
                <c:pt idx="44">
                  <c:v>Capacitación a usuarios (P)</c:v>
                </c:pt>
                <c:pt idx="45">
                  <c:v>Capacitación a usuarios (R)</c:v>
                </c:pt>
              </c:strCache>
            </c:strRef>
          </c:cat>
          <c:val>
            <c:numRef>
              <c:f>Dashboard2!$R$9:$R$54</c:f>
              <c:numCache>
                <c:formatCode>General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1</c:v>
                </c:pt>
                <c:pt idx="4">
                  <c:v>6</c:v>
                </c:pt>
                <c:pt idx="5">
                  <c:v>5</c:v>
                </c:pt>
                <c:pt idx="6">
                  <c:v>7</c:v>
                </c:pt>
                <c:pt idx="7">
                  <c:v>9</c:v>
                </c:pt>
                <c:pt idx="8">
                  <c:v>19</c:v>
                </c:pt>
                <c:pt idx="9">
                  <c:v>19</c:v>
                </c:pt>
                <c:pt idx="10">
                  <c:v>35</c:v>
                </c:pt>
                <c:pt idx="11">
                  <c:v>35</c:v>
                </c:pt>
                <c:pt idx="12">
                  <c:v>36</c:v>
                </c:pt>
                <c:pt idx="13">
                  <c:v>41</c:v>
                </c:pt>
                <c:pt idx="14">
                  <c:v>41</c:v>
                </c:pt>
                <c:pt idx="15">
                  <c:v>42</c:v>
                </c:pt>
                <c:pt idx="16">
                  <c:v>43</c:v>
                </c:pt>
                <c:pt idx="17">
                  <c:v>42</c:v>
                </c:pt>
                <c:pt idx="18">
                  <c:v>49</c:v>
                </c:pt>
                <c:pt idx="19">
                  <c:v>#N/A</c:v>
                </c:pt>
                <c:pt idx="20">
                  <c:v>50</c:v>
                </c:pt>
                <c:pt idx="21">
                  <c:v>40</c:v>
                </c:pt>
                <c:pt idx="22">
                  <c:v>54</c:v>
                </c:pt>
                <c:pt idx="23">
                  <c:v>41</c:v>
                </c:pt>
                <c:pt idx="24">
                  <c:v>55</c:v>
                </c:pt>
                <c:pt idx="25">
                  <c:v>19</c:v>
                </c:pt>
                <c:pt idx="26">
                  <c:v>76</c:v>
                </c:pt>
                <c:pt idx="27">
                  <c:v>0</c:v>
                </c:pt>
                <c:pt idx="28">
                  <c:v>91</c:v>
                </c:pt>
                <c:pt idx="29">
                  <c:v>12</c:v>
                </c:pt>
                <c:pt idx="30">
                  <c:v>104</c:v>
                </c:pt>
                <c:pt idx="31">
                  <c:v>#N/A</c:v>
                </c:pt>
                <c:pt idx="32">
                  <c:v>105</c:v>
                </c:pt>
                <c:pt idx="33">
                  <c:v>#N/A</c:v>
                </c:pt>
                <c:pt idx="34">
                  <c:v>107</c:v>
                </c:pt>
                <c:pt idx="35">
                  <c:v>#N/A</c:v>
                </c:pt>
                <c:pt idx="36">
                  <c:v>111</c:v>
                </c:pt>
                <c:pt idx="37">
                  <c:v>#N/A</c:v>
                </c:pt>
                <c:pt idx="38">
                  <c:v>113</c:v>
                </c:pt>
                <c:pt idx="39">
                  <c:v>#N/A</c:v>
                </c:pt>
                <c:pt idx="40">
                  <c:v>118</c:v>
                </c:pt>
                <c:pt idx="41">
                  <c:v>#N/A</c:v>
                </c:pt>
                <c:pt idx="42">
                  <c:v>119</c:v>
                </c:pt>
                <c:pt idx="43">
                  <c:v>#N/A</c:v>
                </c:pt>
                <c:pt idx="44">
                  <c:v>120</c:v>
                </c:pt>
                <c:pt idx="4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01-447F-90E1-C8CED8395D46}"/>
            </c:ext>
          </c:extLst>
        </c:ser>
        <c:ser>
          <c:idx val="1"/>
          <c:order val="1"/>
          <c:tx>
            <c:v>Planificado</c:v>
          </c:tx>
          <c:spPr>
            <a:solidFill>
              <a:srgbClr val="D9D9D9"/>
            </a:solidFill>
            <a:ln>
              <a:noFill/>
            </a:ln>
            <a:effectLst/>
          </c:spPr>
          <c:invertIfNegative val="0"/>
          <c:cat>
            <c:strRef>
              <c:f>Dashboard2!$Q$9:$Q$54</c:f>
              <c:strCache>
                <c:ptCount val="46"/>
                <c:pt idx="0">
                  <c:v>Definición de alcance (P)</c:v>
                </c:pt>
                <c:pt idx="1">
                  <c:v>Definición de alcance (R)</c:v>
                </c:pt>
                <c:pt idx="2">
                  <c:v>Viabilidad y recursos (P)</c:v>
                </c:pt>
                <c:pt idx="3">
                  <c:v>Viabilidad y recursos (R)</c:v>
                </c:pt>
                <c:pt idx="4">
                  <c:v>Cronograma inicial (P)</c:v>
                </c:pt>
                <c:pt idx="5">
                  <c:v>Cronograma inicial (R)</c:v>
                </c:pt>
                <c:pt idx="6">
                  <c:v>Levantamiento con cliente (P)</c:v>
                </c:pt>
                <c:pt idx="7">
                  <c:v>Levantamiento con cliente (R)</c:v>
                </c:pt>
                <c:pt idx="8">
                  <c:v>Documentación de requisitos (P)</c:v>
                </c:pt>
                <c:pt idx="9">
                  <c:v>Documentación de requisitos (R)</c:v>
                </c:pt>
                <c:pt idx="10">
                  <c:v>Validación y aprobación (P)</c:v>
                </c:pt>
                <c:pt idx="11">
                  <c:v>Validación y aprobación (R)</c:v>
                </c:pt>
                <c:pt idx="12">
                  <c:v>Arquitectura del sistema (P)</c:v>
                </c:pt>
                <c:pt idx="13">
                  <c:v>Arquitectura del sistema (R)</c:v>
                </c:pt>
                <c:pt idx="14">
                  <c:v>Diseño de base de datos (P)</c:v>
                </c:pt>
                <c:pt idx="15">
                  <c:v>Diseño de base de datos (R)</c:v>
                </c:pt>
                <c:pt idx="16">
                  <c:v>Diseño UX/UI (P)</c:v>
                </c:pt>
                <c:pt idx="17">
                  <c:v>Diseño UX/UI (R)</c:v>
                </c:pt>
                <c:pt idx="18">
                  <c:v>Revisión y aprobación (P)</c:v>
                </c:pt>
                <c:pt idx="19">
                  <c:v>Revisión y aprobación (R)</c:v>
                </c:pt>
                <c:pt idx="20">
                  <c:v>Configuración de entorno (P)</c:v>
                </c:pt>
                <c:pt idx="21">
                  <c:v>Configuración de entorno (R)</c:v>
                </c:pt>
                <c:pt idx="22">
                  <c:v>Módulo de autenticación (P)</c:v>
                </c:pt>
                <c:pt idx="23">
                  <c:v>Módulo de autenticación (R)</c:v>
                </c:pt>
                <c:pt idx="24">
                  <c:v>Módulos funcionales core (P)</c:v>
                </c:pt>
                <c:pt idx="25">
                  <c:v>Módulos funcionales core (R)</c:v>
                </c:pt>
                <c:pt idx="26">
                  <c:v>Integraciones / APIs (P)</c:v>
                </c:pt>
                <c:pt idx="27">
                  <c:v>Integraciones / APIs (R)</c:v>
                </c:pt>
                <c:pt idx="28">
                  <c:v>Frontend y UI (P)</c:v>
                </c:pt>
                <c:pt idx="29">
                  <c:v>Frontend y UI (R)</c:v>
                </c:pt>
                <c:pt idx="30">
                  <c:v>Pruebas unitarias (P)</c:v>
                </c:pt>
                <c:pt idx="31">
                  <c:v>Pruebas unitarias (R)</c:v>
                </c:pt>
                <c:pt idx="32">
                  <c:v>Pruebas de integración (P)</c:v>
                </c:pt>
                <c:pt idx="33">
                  <c:v>Pruebas de integración (R)</c:v>
                </c:pt>
                <c:pt idx="34">
                  <c:v>Pruebas de usuario (UAT) (P)</c:v>
                </c:pt>
                <c:pt idx="35">
                  <c:v>Pruebas de usuario (UAT) (R)</c:v>
                </c:pt>
                <c:pt idx="36">
                  <c:v>Pruebas de ciberseguridad (P)</c:v>
                </c:pt>
                <c:pt idx="37">
                  <c:v>Pruebas de ciberseguridad (R)</c:v>
                </c:pt>
                <c:pt idx="38">
                  <c:v>Corrección de bugs (P)</c:v>
                </c:pt>
                <c:pt idx="39">
                  <c:v>Corrección de bugs (R)</c:v>
                </c:pt>
                <c:pt idx="40">
                  <c:v>Preparación de entorno prod. (P)</c:v>
                </c:pt>
                <c:pt idx="41">
                  <c:v>Preparación de entorno prod. (R)</c:v>
                </c:pt>
                <c:pt idx="42">
                  <c:v>Pase a producción (P)</c:v>
                </c:pt>
                <c:pt idx="43">
                  <c:v>Pase a producción (R)</c:v>
                </c:pt>
                <c:pt idx="44">
                  <c:v>Capacitación a usuarios (P)</c:v>
                </c:pt>
                <c:pt idx="45">
                  <c:v>Capacitación a usuarios (R)</c:v>
                </c:pt>
              </c:strCache>
            </c:strRef>
          </c:cat>
          <c:val>
            <c:numRef>
              <c:f>Dashboard2!$S$9:$S$54</c:f>
              <c:numCache>
                <c:formatCode>General</c:formatCode>
                <c:ptCount val="46"/>
                <c:pt idx="0">
                  <c:v>2</c:v>
                </c:pt>
                <c:pt idx="1">
                  <c:v>#N/A</c:v>
                </c:pt>
                <c:pt idx="2">
                  <c:v>1</c:v>
                </c:pt>
                <c:pt idx="3">
                  <c:v>#N/A</c:v>
                </c:pt>
                <c:pt idx="4">
                  <c:v>1</c:v>
                </c:pt>
                <c:pt idx="5">
                  <c:v>#N/A</c:v>
                </c:pt>
                <c:pt idx="6">
                  <c:v>10</c:v>
                </c:pt>
                <c:pt idx="7">
                  <c:v>#N/A</c:v>
                </c:pt>
                <c:pt idx="8">
                  <c:v>16</c:v>
                </c:pt>
                <c:pt idx="9">
                  <c:v>#N/A</c:v>
                </c:pt>
                <c:pt idx="10">
                  <c:v>1</c:v>
                </c:pt>
                <c:pt idx="11">
                  <c:v>#N/A</c:v>
                </c:pt>
                <c:pt idx="12">
                  <c:v>5</c:v>
                </c:pt>
                <c:pt idx="13">
                  <c:v>#N/A</c:v>
                </c:pt>
                <c:pt idx="14">
                  <c:v>2</c:v>
                </c:pt>
                <c:pt idx="15">
                  <c:v>#N/A</c:v>
                </c:pt>
                <c:pt idx="16">
                  <c:v>6</c:v>
                </c:pt>
                <c:pt idx="17">
                  <c:v>#N/A</c:v>
                </c:pt>
                <c:pt idx="18">
                  <c:v>1</c:v>
                </c:pt>
                <c:pt idx="19">
                  <c:v>#N/A</c:v>
                </c:pt>
                <c:pt idx="20">
                  <c:v>2</c:v>
                </c:pt>
                <c:pt idx="21">
                  <c:v>#N/A</c:v>
                </c:pt>
                <c:pt idx="22">
                  <c:v>1</c:v>
                </c:pt>
                <c:pt idx="23">
                  <c:v>#N/A</c:v>
                </c:pt>
                <c:pt idx="24">
                  <c:v>21</c:v>
                </c:pt>
                <c:pt idx="25">
                  <c:v>#N/A</c:v>
                </c:pt>
                <c:pt idx="26">
                  <c:v>15</c:v>
                </c:pt>
                <c:pt idx="27">
                  <c:v>#N/A</c:v>
                </c:pt>
                <c:pt idx="28">
                  <c:v>13</c:v>
                </c:pt>
                <c:pt idx="29">
                  <c:v>#N/A</c:v>
                </c:pt>
                <c:pt idx="30">
                  <c:v>1</c:v>
                </c:pt>
                <c:pt idx="31">
                  <c:v>#N/A</c:v>
                </c:pt>
                <c:pt idx="32">
                  <c:v>2</c:v>
                </c:pt>
                <c:pt idx="33">
                  <c:v>#N/A</c:v>
                </c:pt>
                <c:pt idx="34">
                  <c:v>4</c:v>
                </c:pt>
                <c:pt idx="35">
                  <c:v>#N/A</c:v>
                </c:pt>
                <c:pt idx="36">
                  <c:v>2</c:v>
                </c:pt>
                <c:pt idx="37">
                  <c:v>#N/A</c:v>
                </c:pt>
                <c:pt idx="38">
                  <c:v>5</c:v>
                </c:pt>
                <c:pt idx="39">
                  <c:v>#N/A</c:v>
                </c:pt>
                <c:pt idx="40">
                  <c:v>1</c:v>
                </c:pt>
                <c:pt idx="41">
                  <c:v>#N/A</c:v>
                </c:pt>
                <c:pt idx="42">
                  <c:v>1</c:v>
                </c:pt>
                <c:pt idx="43">
                  <c:v>#N/A</c:v>
                </c:pt>
                <c:pt idx="44">
                  <c:v>1</c:v>
                </c:pt>
                <c:pt idx="4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01-447F-90E1-C8CED8395D46}"/>
            </c:ext>
          </c:extLst>
        </c:ser>
        <c:ser>
          <c:idx val="2"/>
          <c:order val="2"/>
          <c:tx>
            <c:v>Ejecutado (a tiempo)</c:v>
          </c:tx>
          <c:spPr>
            <a:solidFill>
              <a:srgbClr val="2B7BD8"/>
            </a:solidFill>
            <a:ln>
              <a:noFill/>
            </a:ln>
            <a:effectLst/>
          </c:spPr>
          <c:invertIfNegative val="0"/>
          <c:cat>
            <c:strRef>
              <c:f>Dashboard2!$Q$9:$Q$54</c:f>
              <c:strCache>
                <c:ptCount val="46"/>
                <c:pt idx="0">
                  <c:v>Definición de alcance (P)</c:v>
                </c:pt>
                <c:pt idx="1">
                  <c:v>Definición de alcance (R)</c:v>
                </c:pt>
                <c:pt idx="2">
                  <c:v>Viabilidad y recursos (P)</c:v>
                </c:pt>
                <c:pt idx="3">
                  <c:v>Viabilidad y recursos (R)</c:v>
                </c:pt>
                <c:pt idx="4">
                  <c:v>Cronograma inicial (P)</c:v>
                </c:pt>
                <c:pt idx="5">
                  <c:v>Cronograma inicial (R)</c:v>
                </c:pt>
                <c:pt idx="6">
                  <c:v>Levantamiento con cliente (P)</c:v>
                </c:pt>
                <c:pt idx="7">
                  <c:v>Levantamiento con cliente (R)</c:v>
                </c:pt>
                <c:pt idx="8">
                  <c:v>Documentación de requisitos (P)</c:v>
                </c:pt>
                <c:pt idx="9">
                  <c:v>Documentación de requisitos (R)</c:v>
                </c:pt>
                <c:pt idx="10">
                  <c:v>Validación y aprobación (P)</c:v>
                </c:pt>
                <c:pt idx="11">
                  <c:v>Validación y aprobación (R)</c:v>
                </c:pt>
                <c:pt idx="12">
                  <c:v>Arquitectura del sistema (P)</c:v>
                </c:pt>
                <c:pt idx="13">
                  <c:v>Arquitectura del sistema (R)</c:v>
                </c:pt>
                <c:pt idx="14">
                  <c:v>Diseño de base de datos (P)</c:v>
                </c:pt>
                <c:pt idx="15">
                  <c:v>Diseño de base de datos (R)</c:v>
                </c:pt>
                <c:pt idx="16">
                  <c:v>Diseño UX/UI (P)</c:v>
                </c:pt>
                <c:pt idx="17">
                  <c:v>Diseño UX/UI (R)</c:v>
                </c:pt>
                <c:pt idx="18">
                  <c:v>Revisión y aprobación (P)</c:v>
                </c:pt>
                <c:pt idx="19">
                  <c:v>Revisión y aprobación (R)</c:v>
                </c:pt>
                <c:pt idx="20">
                  <c:v>Configuración de entorno (P)</c:v>
                </c:pt>
                <c:pt idx="21">
                  <c:v>Configuración de entorno (R)</c:v>
                </c:pt>
                <c:pt idx="22">
                  <c:v>Módulo de autenticación (P)</c:v>
                </c:pt>
                <c:pt idx="23">
                  <c:v>Módulo de autenticación (R)</c:v>
                </c:pt>
                <c:pt idx="24">
                  <c:v>Módulos funcionales core (P)</c:v>
                </c:pt>
                <c:pt idx="25">
                  <c:v>Módulos funcionales core (R)</c:v>
                </c:pt>
                <c:pt idx="26">
                  <c:v>Integraciones / APIs (P)</c:v>
                </c:pt>
                <c:pt idx="27">
                  <c:v>Integraciones / APIs (R)</c:v>
                </c:pt>
                <c:pt idx="28">
                  <c:v>Frontend y UI (P)</c:v>
                </c:pt>
                <c:pt idx="29">
                  <c:v>Frontend y UI (R)</c:v>
                </c:pt>
                <c:pt idx="30">
                  <c:v>Pruebas unitarias (P)</c:v>
                </c:pt>
                <c:pt idx="31">
                  <c:v>Pruebas unitarias (R)</c:v>
                </c:pt>
                <c:pt idx="32">
                  <c:v>Pruebas de integración (P)</c:v>
                </c:pt>
                <c:pt idx="33">
                  <c:v>Pruebas de integración (R)</c:v>
                </c:pt>
                <c:pt idx="34">
                  <c:v>Pruebas de usuario (UAT) (P)</c:v>
                </c:pt>
                <c:pt idx="35">
                  <c:v>Pruebas de usuario (UAT) (R)</c:v>
                </c:pt>
                <c:pt idx="36">
                  <c:v>Pruebas de ciberseguridad (P)</c:v>
                </c:pt>
                <c:pt idx="37">
                  <c:v>Pruebas de ciberseguridad (R)</c:v>
                </c:pt>
                <c:pt idx="38">
                  <c:v>Corrección de bugs (P)</c:v>
                </c:pt>
                <c:pt idx="39">
                  <c:v>Corrección de bugs (R)</c:v>
                </c:pt>
                <c:pt idx="40">
                  <c:v>Preparación de entorno prod. (P)</c:v>
                </c:pt>
                <c:pt idx="41">
                  <c:v>Preparación de entorno prod. (R)</c:v>
                </c:pt>
                <c:pt idx="42">
                  <c:v>Pase a producción (P)</c:v>
                </c:pt>
                <c:pt idx="43">
                  <c:v>Pase a producción (R)</c:v>
                </c:pt>
                <c:pt idx="44">
                  <c:v>Capacitación a usuarios (P)</c:v>
                </c:pt>
                <c:pt idx="45">
                  <c:v>Capacitación a usuarios (R)</c:v>
                </c:pt>
              </c:strCache>
            </c:strRef>
          </c:cat>
          <c:val>
            <c:numRef>
              <c:f>Dashboard2!$T$9:$T$54</c:f>
              <c:numCache>
                <c:formatCode>General</c:formatCode>
                <c:ptCount val="46"/>
                <c:pt idx="0">
                  <c:v>#N/A</c:v>
                </c:pt>
                <c:pt idx="1">
                  <c:v>1</c:v>
                </c:pt>
                <c:pt idx="2">
                  <c:v>#N/A</c:v>
                </c:pt>
                <c:pt idx="3">
                  <c:v>1</c:v>
                </c:pt>
                <c:pt idx="4">
                  <c:v>#N/A</c:v>
                </c:pt>
                <c:pt idx="5">
                  <c:v>1</c:v>
                </c:pt>
                <c:pt idx="6">
                  <c:v>#N/A</c:v>
                </c:pt>
                <c:pt idx="7">
                  <c:v>6</c:v>
                </c:pt>
                <c:pt idx="8">
                  <c:v>#N/A</c:v>
                </c:pt>
                <c:pt idx="9">
                  <c:v>15</c:v>
                </c:pt>
                <c:pt idx="10">
                  <c:v>#N/A</c:v>
                </c:pt>
                <c:pt idx="11">
                  <c:v>1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2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4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57</c:v>
                </c:pt>
                <c:pt idx="26">
                  <c:v>#N/A</c:v>
                </c:pt>
                <c:pt idx="27">
                  <c:v>76</c:v>
                </c:pt>
                <c:pt idx="28">
                  <c:v>#N/A</c:v>
                </c:pt>
                <c:pt idx="29">
                  <c:v>64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01-447F-90E1-C8CED8395D46}"/>
            </c:ext>
          </c:extLst>
        </c:ser>
        <c:ser>
          <c:idx val="3"/>
          <c:order val="3"/>
          <c:tx>
            <c:v>Ejecutado (con retraso)</c:v>
          </c:tx>
          <c:spPr>
            <a:solidFill>
              <a:srgbClr val="E63E5C"/>
            </a:solidFill>
            <a:ln>
              <a:noFill/>
            </a:ln>
            <a:effectLst/>
          </c:spPr>
          <c:invertIfNegative val="0"/>
          <c:cat>
            <c:strRef>
              <c:f>Dashboard2!$Q$9:$Q$54</c:f>
              <c:strCache>
                <c:ptCount val="46"/>
                <c:pt idx="0">
                  <c:v>Definición de alcance (P)</c:v>
                </c:pt>
                <c:pt idx="1">
                  <c:v>Definición de alcance (R)</c:v>
                </c:pt>
                <c:pt idx="2">
                  <c:v>Viabilidad y recursos (P)</c:v>
                </c:pt>
                <c:pt idx="3">
                  <c:v>Viabilidad y recursos (R)</c:v>
                </c:pt>
                <c:pt idx="4">
                  <c:v>Cronograma inicial (P)</c:v>
                </c:pt>
                <c:pt idx="5">
                  <c:v>Cronograma inicial (R)</c:v>
                </c:pt>
                <c:pt idx="6">
                  <c:v>Levantamiento con cliente (P)</c:v>
                </c:pt>
                <c:pt idx="7">
                  <c:v>Levantamiento con cliente (R)</c:v>
                </c:pt>
                <c:pt idx="8">
                  <c:v>Documentación de requisitos (P)</c:v>
                </c:pt>
                <c:pt idx="9">
                  <c:v>Documentación de requisitos (R)</c:v>
                </c:pt>
                <c:pt idx="10">
                  <c:v>Validación y aprobación (P)</c:v>
                </c:pt>
                <c:pt idx="11">
                  <c:v>Validación y aprobación (R)</c:v>
                </c:pt>
                <c:pt idx="12">
                  <c:v>Arquitectura del sistema (P)</c:v>
                </c:pt>
                <c:pt idx="13">
                  <c:v>Arquitectura del sistema (R)</c:v>
                </c:pt>
                <c:pt idx="14">
                  <c:v>Diseño de base de datos (P)</c:v>
                </c:pt>
                <c:pt idx="15">
                  <c:v>Diseño de base de datos (R)</c:v>
                </c:pt>
                <c:pt idx="16">
                  <c:v>Diseño UX/UI (P)</c:v>
                </c:pt>
                <c:pt idx="17">
                  <c:v>Diseño UX/UI (R)</c:v>
                </c:pt>
                <c:pt idx="18">
                  <c:v>Revisión y aprobación (P)</c:v>
                </c:pt>
                <c:pt idx="19">
                  <c:v>Revisión y aprobación (R)</c:v>
                </c:pt>
                <c:pt idx="20">
                  <c:v>Configuración de entorno (P)</c:v>
                </c:pt>
                <c:pt idx="21">
                  <c:v>Configuración de entorno (R)</c:v>
                </c:pt>
                <c:pt idx="22">
                  <c:v>Módulo de autenticación (P)</c:v>
                </c:pt>
                <c:pt idx="23">
                  <c:v>Módulo de autenticación (R)</c:v>
                </c:pt>
                <c:pt idx="24">
                  <c:v>Módulos funcionales core (P)</c:v>
                </c:pt>
                <c:pt idx="25">
                  <c:v>Módulos funcionales core (R)</c:v>
                </c:pt>
                <c:pt idx="26">
                  <c:v>Integraciones / APIs (P)</c:v>
                </c:pt>
                <c:pt idx="27">
                  <c:v>Integraciones / APIs (R)</c:v>
                </c:pt>
                <c:pt idx="28">
                  <c:v>Frontend y UI (P)</c:v>
                </c:pt>
                <c:pt idx="29">
                  <c:v>Frontend y UI (R)</c:v>
                </c:pt>
                <c:pt idx="30">
                  <c:v>Pruebas unitarias (P)</c:v>
                </c:pt>
                <c:pt idx="31">
                  <c:v>Pruebas unitarias (R)</c:v>
                </c:pt>
                <c:pt idx="32">
                  <c:v>Pruebas de integración (P)</c:v>
                </c:pt>
                <c:pt idx="33">
                  <c:v>Pruebas de integración (R)</c:v>
                </c:pt>
                <c:pt idx="34">
                  <c:v>Pruebas de usuario (UAT) (P)</c:v>
                </c:pt>
                <c:pt idx="35">
                  <c:v>Pruebas de usuario (UAT) (R)</c:v>
                </c:pt>
                <c:pt idx="36">
                  <c:v>Pruebas de ciberseguridad (P)</c:v>
                </c:pt>
                <c:pt idx="37">
                  <c:v>Pruebas de ciberseguridad (R)</c:v>
                </c:pt>
                <c:pt idx="38">
                  <c:v>Corrección de bugs (P)</c:v>
                </c:pt>
                <c:pt idx="39">
                  <c:v>Corrección de bugs (R)</c:v>
                </c:pt>
                <c:pt idx="40">
                  <c:v>Preparación de entorno prod. (P)</c:v>
                </c:pt>
                <c:pt idx="41">
                  <c:v>Preparación de entorno prod. (R)</c:v>
                </c:pt>
                <c:pt idx="42">
                  <c:v>Pase a producción (P)</c:v>
                </c:pt>
                <c:pt idx="43">
                  <c:v>Pase a producción (R)</c:v>
                </c:pt>
                <c:pt idx="44">
                  <c:v>Capacitación a usuarios (P)</c:v>
                </c:pt>
                <c:pt idx="45">
                  <c:v>Capacitación a usuarios (R)</c:v>
                </c:pt>
              </c:strCache>
            </c:strRef>
          </c:cat>
          <c:val>
            <c:numRef>
              <c:f>Dashboard2!$U$9:$U$54</c:f>
              <c:numCache>
                <c:formatCode>General</c:formatCode>
                <c:ptCount val="4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2</c:v>
                </c:pt>
                <c:pt idx="14">
                  <c:v>#N/A</c:v>
                </c:pt>
                <c:pt idx="15">
                  <c:v>2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35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401-447F-90E1-C8CED8395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7405408"/>
        <c:axId val="887410208"/>
      </c:barChart>
      <c:catAx>
        <c:axId val="88740540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87410208"/>
        <c:crosses val="autoZero"/>
        <c:auto val="1"/>
        <c:lblAlgn val="ctr"/>
        <c:lblOffset val="100"/>
        <c:noMultiLvlLbl val="0"/>
      </c:catAx>
      <c:valAx>
        <c:axId val="887410208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BO"/>
                  <a:t>Días hábiles desde inicio del proyecto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87405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1</xdr:rowOff>
    </xdr:from>
    <xdr:to>
      <xdr:col>11</xdr:col>
      <xdr:colOff>0</xdr:colOff>
      <xdr:row>42</xdr:row>
      <xdr:rowOff>7938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ADF18FA-2C00-B068-0540-821B189455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62</xdr:col>
      <xdr:colOff>124460</xdr:colOff>
      <xdr:row>44</xdr:row>
      <xdr:rowOff>203200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71ADA96-4652-A8DC-755C-5B0C7E20DF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E12F8D7-1D9A-4B43-8F7A-854F645160AE}">
  <we:reference id="wa200009404" version="1.0.0.8" store="es-ES" storeType="OMEX"/>
  <we:alternateReferences>
    <we:reference id="WA200009404" version="1.0.0.8" store="WA200009404" storeType="OMEX"/>
  </we:alternateReferences>
  <we:properties>
    <we:property name="claude.fileId" value="&quot;9d954a45-f12b-4dca-894b-542f2fb1d256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5"/>
  <sheetViews>
    <sheetView workbookViewId="0">
      <selection activeCell="B8" sqref="B8"/>
    </sheetView>
  </sheetViews>
  <sheetFormatPr baseColWidth="10" defaultColWidth="8.88671875" defaultRowHeight="14.4" x14ac:dyDescent="0.3"/>
  <cols>
    <col min="1" max="1" width="31.6640625" customWidth="1"/>
    <col min="2" max="2" width="26.6640625" customWidth="1"/>
    <col min="3" max="3" width="36.6640625" customWidth="1"/>
    <col min="4" max="4" width="26.6640625" customWidth="1"/>
  </cols>
  <sheetData>
    <row r="1" spans="1:4" ht="25.95" customHeight="1" x14ac:dyDescent="0.3">
      <c r="A1" s="97" t="s">
        <v>0</v>
      </c>
    </row>
    <row r="3" spans="1:4" ht="19.95" customHeight="1" x14ac:dyDescent="0.3">
      <c r="A3" s="1" t="s">
        <v>1</v>
      </c>
    </row>
    <row r="4" spans="1:4" ht="18" customHeight="1" x14ac:dyDescent="0.3">
      <c r="A4" s="32" t="s">
        <v>2</v>
      </c>
      <c r="B4" s="34">
        <v>46113</v>
      </c>
      <c r="C4" s="2" t="s">
        <v>3</v>
      </c>
    </row>
    <row r="5" spans="1:4" ht="18" customHeight="1" x14ac:dyDescent="0.3">
      <c r="A5" s="32" t="s">
        <v>4</v>
      </c>
      <c r="B5" s="33">
        <v>84</v>
      </c>
      <c r="C5" s="2" t="s">
        <v>5</v>
      </c>
    </row>
    <row r="7" spans="1:4" ht="18" customHeight="1" x14ac:dyDescent="0.3">
      <c r="A7" s="32" t="s">
        <v>6</v>
      </c>
      <c r="B7" s="35">
        <f>WORKDAY(B4,B5-1,Feriados_BO_2026)</f>
        <v>46233</v>
      </c>
      <c r="C7" s="2" t="s">
        <v>7</v>
      </c>
    </row>
    <row r="8" spans="1:4" ht="18" customHeight="1" x14ac:dyDescent="0.3">
      <c r="A8" s="32" t="s">
        <v>8</v>
      </c>
      <c r="B8" s="36" t="str">
        <f>ROUND(B5/21.7,1)&amp;" meses ("&amp;B5&amp;" días hábiles)"</f>
        <v>3,9 meses (84 días hábiles)</v>
      </c>
    </row>
    <row r="10" spans="1:4" ht="16.2" customHeight="1" x14ac:dyDescent="0.3">
      <c r="A10" s="37" t="s">
        <v>9</v>
      </c>
    </row>
    <row r="12" spans="1:4" ht="19.95" customHeight="1" x14ac:dyDescent="0.3">
      <c r="A12" s="1" t="s">
        <v>10</v>
      </c>
    </row>
    <row r="13" spans="1:4" ht="16.2" customHeight="1" x14ac:dyDescent="0.3">
      <c r="A13" s="38" t="s">
        <v>11</v>
      </c>
      <c r="B13" s="38" t="s">
        <v>12</v>
      </c>
      <c r="C13" s="38" t="s">
        <v>13</v>
      </c>
      <c r="D13" s="38" t="s">
        <v>14</v>
      </c>
    </row>
    <row r="14" spans="1:4" ht="15" customHeight="1" x14ac:dyDescent="0.3">
      <c r="A14" s="39">
        <v>46023</v>
      </c>
      <c r="B14" t="s">
        <v>15</v>
      </c>
      <c r="C14" s="40" t="str">
        <f t="shared" ref="C14:C24" si="0">TEXT(A14,"dddd")</f>
        <v>jueves</v>
      </c>
      <c r="D14" s="98" t="s">
        <v>16</v>
      </c>
    </row>
    <row r="15" spans="1:4" ht="15" customHeight="1" x14ac:dyDescent="0.3">
      <c r="A15" s="39">
        <v>46044</v>
      </c>
      <c r="B15" t="s">
        <v>17</v>
      </c>
      <c r="C15" s="40" t="str">
        <f t="shared" si="0"/>
        <v>jueves</v>
      </c>
      <c r="D15" s="98" t="s">
        <v>18</v>
      </c>
    </row>
    <row r="16" spans="1:4" ht="15" customHeight="1" x14ac:dyDescent="0.3">
      <c r="A16" s="39">
        <v>46069</v>
      </c>
      <c r="B16" t="s">
        <v>19</v>
      </c>
      <c r="C16" s="40" t="str">
        <f t="shared" si="0"/>
        <v>lunes</v>
      </c>
      <c r="D16" s="99">
        <v>46069</v>
      </c>
    </row>
    <row r="17" spans="1:4" ht="15" customHeight="1" x14ac:dyDescent="0.3">
      <c r="A17" s="39">
        <v>46070</v>
      </c>
      <c r="B17" t="s">
        <v>20</v>
      </c>
      <c r="C17" s="40" t="str">
        <f t="shared" si="0"/>
        <v>martes</v>
      </c>
      <c r="D17" s="99">
        <v>46070</v>
      </c>
    </row>
    <row r="18" spans="1:4" ht="15" customHeight="1" x14ac:dyDescent="0.3">
      <c r="A18" s="39">
        <v>46115</v>
      </c>
      <c r="B18" t="s">
        <v>21</v>
      </c>
      <c r="C18" s="40" t="str">
        <f t="shared" si="0"/>
        <v>viernes</v>
      </c>
      <c r="D18" s="98" t="s">
        <v>22</v>
      </c>
    </row>
    <row r="19" spans="1:4" ht="15" customHeight="1" x14ac:dyDescent="0.3">
      <c r="A19" s="39">
        <v>46143</v>
      </c>
      <c r="B19" t="s">
        <v>23</v>
      </c>
      <c r="C19" s="40" t="str">
        <f t="shared" si="0"/>
        <v>viernes</v>
      </c>
      <c r="D19" s="99">
        <v>46143</v>
      </c>
    </row>
    <row r="20" spans="1:4" ht="15" customHeight="1" x14ac:dyDescent="0.3">
      <c r="A20" s="39">
        <v>46177</v>
      </c>
      <c r="B20" t="s">
        <v>24</v>
      </c>
      <c r="C20" s="40" t="str">
        <f t="shared" si="0"/>
        <v>jueves</v>
      </c>
      <c r="D20" s="99">
        <v>46177</v>
      </c>
    </row>
    <row r="21" spans="1:4" ht="15" customHeight="1" x14ac:dyDescent="0.3">
      <c r="A21" s="39">
        <v>46194</v>
      </c>
      <c r="B21" t="s">
        <v>25</v>
      </c>
      <c r="C21" s="40" t="str">
        <f t="shared" si="0"/>
        <v>domingo</v>
      </c>
      <c r="D21" s="98" t="s">
        <v>26</v>
      </c>
    </row>
    <row r="22" spans="1:4" ht="15" customHeight="1" x14ac:dyDescent="0.3">
      <c r="A22" s="39">
        <v>46240</v>
      </c>
      <c r="B22" t="s">
        <v>27</v>
      </c>
      <c r="C22" s="40" t="str">
        <f t="shared" si="0"/>
        <v>jueves</v>
      </c>
      <c r="D22" s="98" t="s">
        <v>28</v>
      </c>
    </row>
    <row r="23" spans="1:4" ht="15" customHeight="1" x14ac:dyDescent="0.3">
      <c r="A23" s="39">
        <v>46328</v>
      </c>
      <c r="B23" t="s">
        <v>29</v>
      </c>
      <c r="C23" s="40" t="str">
        <f t="shared" si="0"/>
        <v>lunes</v>
      </c>
      <c r="D23" s="98" t="s">
        <v>30</v>
      </c>
    </row>
    <row r="24" spans="1:4" ht="15" customHeight="1" x14ac:dyDescent="0.3">
      <c r="A24" s="39">
        <v>46381</v>
      </c>
      <c r="B24" t="s">
        <v>31</v>
      </c>
      <c r="C24" s="40" t="str">
        <f t="shared" si="0"/>
        <v>viernes</v>
      </c>
      <c r="D24" s="98" t="s">
        <v>32</v>
      </c>
    </row>
    <row r="25" spans="1:4" ht="15" customHeight="1" x14ac:dyDescent="0.3"/>
    <row r="26" spans="1:4" ht="15" customHeight="1" x14ac:dyDescent="0.3"/>
    <row r="27" spans="1:4" ht="15" customHeight="1" x14ac:dyDescent="0.3"/>
    <row r="28" spans="1:4" ht="15" customHeight="1" x14ac:dyDescent="0.3"/>
    <row r="29" spans="1:4" ht="15" customHeight="1" x14ac:dyDescent="0.3"/>
    <row r="30" spans="1:4" ht="15" customHeight="1" x14ac:dyDescent="0.3"/>
    <row r="31" spans="1:4" ht="15" customHeight="1" x14ac:dyDescent="0.3"/>
    <row r="32" spans="1:4" ht="15" customHeight="1" x14ac:dyDescent="0.3"/>
    <row r="33" ht="15" customHeight="1" x14ac:dyDescent="0.3"/>
    <row r="34" ht="15" customHeight="1" x14ac:dyDescent="0.3"/>
    <row r="35" ht="15" customHeight="1" x14ac:dyDescent="0.3"/>
    <row r="36" ht="15" customHeight="1" x14ac:dyDescent="0.3"/>
    <row r="37" ht="15" customHeight="1" x14ac:dyDescent="0.3"/>
    <row r="38" ht="15" customHeight="1" x14ac:dyDescent="0.3"/>
    <row r="39" ht="15" customHeight="1" x14ac:dyDescent="0.3"/>
    <row r="40" ht="15" customHeight="1" x14ac:dyDescent="0.3"/>
    <row r="41" ht="15" customHeight="1" x14ac:dyDescent="0.3"/>
    <row r="42" ht="15" customHeight="1" x14ac:dyDescent="0.3"/>
    <row r="43" ht="15" customHeight="1" x14ac:dyDescent="0.3"/>
    <row r="44" ht="15" customHeight="1" x14ac:dyDescent="0.3"/>
    <row r="45" ht="15" customHeight="1" x14ac:dyDescent="0.3"/>
    <row r="46" ht="15" customHeight="1" x14ac:dyDescent="0.3"/>
    <row r="47" ht="15" customHeight="1" x14ac:dyDescent="0.3"/>
    <row r="48" ht="15" customHeight="1" x14ac:dyDescent="0.3"/>
    <row r="49" ht="15" customHeight="1" x14ac:dyDescent="0.3"/>
    <row r="50" ht="15" customHeight="1" x14ac:dyDescent="0.3"/>
    <row r="51" ht="15" customHeight="1" x14ac:dyDescent="0.3"/>
    <row r="52" ht="15" customHeight="1" x14ac:dyDescent="0.3"/>
    <row r="53" ht="15" customHeight="1" x14ac:dyDescent="0.3"/>
    <row r="54" ht="15" customHeight="1" x14ac:dyDescent="0.3"/>
    <row r="55" ht="15" customHeight="1" x14ac:dyDescent="0.3"/>
    <row r="56" ht="15" customHeight="1" x14ac:dyDescent="0.3"/>
    <row r="57" ht="15" customHeight="1" x14ac:dyDescent="0.3"/>
    <row r="58" ht="15" customHeight="1" x14ac:dyDescent="0.3"/>
    <row r="59" ht="15" customHeight="1" x14ac:dyDescent="0.3"/>
    <row r="60" ht="15" customHeight="1" x14ac:dyDescent="0.3"/>
    <row r="61" ht="15" customHeight="1" x14ac:dyDescent="0.3"/>
    <row r="62" ht="15" customHeight="1" x14ac:dyDescent="0.3"/>
    <row r="63" ht="15" customHeight="1" x14ac:dyDescent="0.3"/>
    <row r="64" ht="15" customHeight="1" x14ac:dyDescent="0.3"/>
    <row r="65" ht="15" customHeight="1" x14ac:dyDescent="0.3"/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L32"/>
  <sheetViews>
    <sheetView zoomScale="80" zoomScaleNormal="80" workbookViewId="0">
      <pane ySplit="1" topLeftCell="A4" activePane="bottomLeft" state="frozen"/>
      <selection pane="bottomLeft" activeCell="B5" sqref="B5:B7"/>
    </sheetView>
  </sheetViews>
  <sheetFormatPr baseColWidth="10" defaultColWidth="8.88671875" defaultRowHeight="14.4" x14ac:dyDescent="0.3"/>
  <cols>
    <col min="1" max="1" width="14.6640625" bestFit="1" customWidth="1"/>
    <col min="2" max="2" width="24.44140625" bestFit="1" customWidth="1"/>
    <col min="3" max="3" width="15" bestFit="1" customWidth="1"/>
    <col min="4" max="4" width="10.5546875" bestFit="1" customWidth="1"/>
    <col min="5" max="5" width="12.6640625" bestFit="1" customWidth="1"/>
    <col min="6" max="6" width="10.5546875" bestFit="1" customWidth="1"/>
    <col min="7" max="7" width="10.6640625" bestFit="1" customWidth="1"/>
    <col min="8" max="8" width="10.5546875" bestFit="1" customWidth="1"/>
    <col min="9" max="9" width="10.6640625" bestFit="1" customWidth="1"/>
    <col min="10" max="10" width="10.44140625" bestFit="1" customWidth="1"/>
    <col min="11" max="11" width="8.6640625" bestFit="1" customWidth="1"/>
    <col min="12" max="12" width="11" bestFit="1" customWidth="1"/>
    <col min="13" max="272" width="3.33203125" customWidth="1"/>
  </cols>
  <sheetData>
    <row r="1" spans="1:272" s="85" customFormat="1" ht="25.95" customHeight="1" x14ac:dyDescent="0.3">
      <c r="A1" s="128" t="s">
        <v>33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6" t="s">
        <v>34</v>
      </c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  <c r="AT1" s="127"/>
      <c r="AU1" s="127"/>
      <c r="AV1" s="127"/>
      <c r="AW1" s="127"/>
      <c r="AX1" s="127"/>
      <c r="AY1" s="127"/>
      <c r="AZ1" s="127"/>
      <c r="BA1" s="127"/>
      <c r="BB1" s="127"/>
      <c r="BC1" s="127"/>
      <c r="BD1" s="127"/>
      <c r="BE1" s="127"/>
      <c r="BF1" s="127"/>
      <c r="BG1" s="127"/>
      <c r="BH1" s="127"/>
      <c r="BI1" s="127"/>
      <c r="BJ1" s="127"/>
      <c r="BK1" s="127"/>
      <c r="BL1" s="127"/>
      <c r="BM1" s="127"/>
      <c r="BN1" s="127"/>
      <c r="BO1" s="127"/>
      <c r="BP1" s="127"/>
      <c r="BQ1" s="127"/>
      <c r="BR1" s="127"/>
      <c r="BS1" s="127"/>
      <c r="BT1" s="127"/>
      <c r="BU1" s="127"/>
      <c r="BV1" s="127"/>
      <c r="BW1" s="127"/>
      <c r="BX1" s="127"/>
      <c r="BY1" s="127"/>
      <c r="BZ1" s="127"/>
      <c r="CA1" s="127"/>
      <c r="CB1" s="127"/>
      <c r="CC1" s="127"/>
      <c r="CD1" s="127"/>
      <c r="CE1" s="127"/>
      <c r="CF1" s="127"/>
      <c r="CG1" s="127"/>
      <c r="CH1" s="127"/>
      <c r="CI1" s="127"/>
      <c r="CJ1" s="127"/>
      <c r="CK1" s="127"/>
      <c r="CL1" s="127"/>
      <c r="CM1" s="127"/>
      <c r="CN1" s="127"/>
      <c r="CO1" s="127"/>
      <c r="CP1" s="127"/>
      <c r="CQ1" s="127"/>
      <c r="CR1" s="127"/>
      <c r="CS1" s="127"/>
      <c r="CT1" s="127"/>
      <c r="CU1" s="127"/>
      <c r="CV1" s="127"/>
      <c r="CW1" s="127"/>
      <c r="CX1" s="127"/>
      <c r="CY1" s="127"/>
      <c r="CZ1" s="127"/>
      <c r="DA1" s="127"/>
      <c r="DB1" s="127"/>
      <c r="DC1" s="127"/>
      <c r="DD1" s="127"/>
      <c r="DE1" s="127"/>
      <c r="DF1" s="127"/>
      <c r="DG1" s="127"/>
      <c r="DH1" s="127"/>
      <c r="DI1" s="127"/>
      <c r="DJ1" s="127"/>
      <c r="DK1" s="127"/>
      <c r="DL1" s="127"/>
      <c r="DM1" s="127"/>
      <c r="DN1" s="127"/>
      <c r="DO1" s="127"/>
      <c r="DP1" s="127"/>
      <c r="DQ1" s="127"/>
      <c r="DR1" s="127"/>
      <c r="DS1" s="127"/>
      <c r="DT1" s="127"/>
      <c r="DU1" s="127"/>
      <c r="DV1" s="127"/>
      <c r="DW1" s="127"/>
      <c r="DX1" s="127"/>
      <c r="DY1" s="127"/>
      <c r="DZ1" s="127"/>
      <c r="EA1" s="127"/>
      <c r="EB1" s="127"/>
      <c r="EC1" s="127"/>
      <c r="ED1" s="127"/>
      <c r="EE1" s="127"/>
      <c r="EF1" s="127"/>
      <c r="EG1" s="127"/>
      <c r="EH1" s="127"/>
      <c r="EI1" s="127"/>
      <c r="EJ1" s="127"/>
      <c r="EK1" s="127"/>
      <c r="EL1" s="127"/>
      <c r="EM1" s="127"/>
      <c r="EN1" s="127"/>
      <c r="EO1" s="127"/>
      <c r="EP1" s="127"/>
      <c r="EQ1" s="127"/>
      <c r="ER1" s="127"/>
      <c r="ES1" s="127"/>
      <c r="ET1" s="127"/>
      <c r="EU1" s="127"/>
      <c r="EV1" s="127"/>
      <c r="EW1" s="127"/>
      <c r="EX1" s="127"/>
      <c r="EY1" s="127"/>
      <c r="EZ1" s="127"/>
      <c r="FA1" s="127"/>
      <c r="FB1" s="127"/>
      <c r="FC1" s="127"/>
      <c r="FD1" s="127"/>
      <c r="FE1" s="127"/>
      <c r="FF1" s="127"/>
      <c r="FG1" s="127"/>
      <c r="FH1" s="127"/>
      <c r="FI1" s="127"/>
      <c r="FJ1" s="127"/>
      <c r="FK1" s="127"/>
      <c r="FL1" s="127"/>
      <c r="FM1" s="127"/>
      <c r="FN1" s="127"/>
      <c r="FO1" s="127"/>
      <c r="FP1" s="127"/>
      <c r="FQ1" s="127"/>
      <c r="FR1" s="127"/>
      <c r="FS1" s="127"/>
      <c r="FT1" s="127"/>
      <c r="FU1" s="127"/>
      <c r="FV1" s="127"/>
      <c r="FW1" s="127"/>
      <c r="FX1" s="127"/>
      <c r="FY1" s="127"/>
      <c r="FZ1" s="127"/>
      <c r="GA1" s="127"/>
      <c r="GB1" s="127"/>
      <c r="GC1" s="127"/>
      <c r="GD1" s="127"/>
      <c r="GE1" s="127"/>
      <c r="GF1" s="127"/>
      <c r="GG1" s="127"/>
      <c r="GH1" s="127"/>
      <c r="GI1" s="127"/>
      <c r="GJ1" s="127"/>
      <c r="GK1" s="127"/>
      <c r="GL1" s="127"/>
      <c r="GM1" s="127"/>
      <c r="GN1" s="127"/>
      <c r="GO1" s="127"/>
      <c r="GP1" s="127"/>
      <c r="GQ1" s="127"/>
      <c r="GR1" s="127"/>
      <c r="GS1" s="127"/>
      <c r="GT1" s="127"/>
      <c r="GU1" s="127"/>
      <c r="GV1" s="127"/>
      <c r="GW1" s="127"/>
      <c r="GX1" s="127"/>
      <c r="GY1" s="127"/>
      <c r="GZ1" s="127"/>
      <c r="HA1" s="127"/>
      <c r="HB1" s="127"/>
      <c r="HC1" s="127"/>
      <c r="HD1" s="127"/>
      <c r="HE1" s="127"/>
      <c r="HF1" s="127"/>
      <c r="HG1" s="127"/>
      <c r="HH1" s="127"/>
      <c r="HI1" s="127"/>
      <c r="HJ1" s="127"/>
      <c r="HK1" s="127"/>
      <c r="HL1" s="127"/>
      <c r="HM1" s="127"/>
      <c r="HN1" s="127"/>
      <c r="HO1" s="127"/>
      <c r="HP1" s="127"/>
      <c r="HQ1" s="127"/>
      <c r="HR1" s="127"/>
      <c r="HS1" s="127"/>
      <c r="HT1" s="127"/>
      <c r="HU1" s="127"/>
      <c r="HV1" s="127"/>
      <c r="HW1" s="127"/>
      <c r="HX1" s="127"/>
      <c r="HY1" s="127"/>
      <c r="HZ1" s="127"/>
      <c r="IA1" s="127"/>
      <c r="IB1" s="127"/>
      <c r="IC1" s="127"/>
      <c r="ID1" s="127"/>
      <c r="IE1" s="127"/>
      <c r="IF1" s="127"/>
      <c r="IG1" s="127"/>
      <c r="IH1" s="127"/>
      <c r="II1" s="127"/>
      <c r="IJ1" s="127"/>
      <c r="IK1" s="127"/>
      <c r="IL1" s="127"/>
      <c r="IM1" s="127"/>
      <c r="IN1" s="127"/>
      <c r="IO1" s="127"/>
      <c r="IP1" s="127"/>
      <c r="IQ1" s="127"/>
      <c r="IR1" s="127"/>
      <c r="IS1" s="127"/>
      <c r="IT1" s="127"/>
      <c r="IU1" s="127"/>
      <c r="IV1" s="127"/>
      <c r="IW1" s="127"/>
      <c r="IX1" s="127"/>
      <c r="IY1" s="127"/>
      <c r="IZ1" s="127"/>
      <c r="JA1" s="127"/>
      <c r="JB1" s="127"/>
      <c r="JC1" s="127"/>
      <c r="JD1" s="127"/>
      <c r="JE1" s="127"/>
      <c r="JF1" s="127"/>
      <c r="JG1" s="127"/>
      <c r="JH1" s="127"/>
      <c r="JI1" s="127"/>
      <c r="JJ1" s="127"/>
      <c r="JK1" s="127"/>
      <c r="JL1" s="127"/>
    </row>
    <row r="2" spans="1:272" s="85" customFormat="1" ht="18" customHeight="1" x14ac:dyDescent="0.3">
      <c r="A2" s="88" t="s">
        <v>35</v>
      </c>
      <c r="B2" s="89">
        <f>FechaInicioProyecto</f>
        <v>46113</v>
      </c>
      <c r="C2" s="90" t="s">
        <v>36</v>
      </c>
      <c r="D2" s="91">
        <f>HorizonteDias</f>
        <v>84</v>
      </c>
      <c r="E2" s="88" t="s">
        <v>37</v>
      </c>
      <c r="F2" s="89">
        <f>Configuración!B7</f>
        <v>46233</v>
      </c>
      <c r="G2" s="89"/>
      <c r="H2" s="89"/>
      <c r="I2" s="89"/>
      <c r="J2" s="90" t="s">
        <v>38</v>
      </c>
      <c r="K2" s="92" cm="1">
        <f t="array" ref="K2">SUMPRODUCT((L5:L32="Completado")*J5:J32)</f>
        <v>0.29200000000000004</v>
      </c>
      <c r="M2" s="93" t="str">
        <f>IF(M3="","",UPPER(TEXT(M3,"mmm yyyy")))</f>
        <v>ABR 2026</v>
      </c>
      <c r="N2" s="93" t="str">
        <f t="shared" ref="N2:BY2" si="0">IF(N3="","",IF(OR(M3="",TEXT(N3,"mmm")&lt;&gt;TEXT(M3,"mmm")),UPPER(TEXT(N3,"mmm yyyy")),""))</f>
        <v/>
      </c>
      <c r="O2" s="93" t="str">
        <f t="shared" si="0"/>
        <v/>
      </c>
      <c r="P2" s="93" t="str">
        <f t="shared" si="0"/>
        <v/>
      </c>
      <c r="Q2" s="93" t="str">
        <f t="shared" si="0"/>
        <v/>
      </c>
      <c r="R2" s="93" t="str">
        <f t="shared" si="0"/>
        <v/>
      </c>
      <c r="S2" s="93" t="str">
        <f t="shared" si="0"/>
        <v/>
      </c>
      <c r="T2" s="93" t="str">
        <f t="shared" si="0"/>
        <v/>
      </c>
      <c r="U2" s="93" t="str">
        <f t="shared" si="0"/>
        <v/>
      </c>
      <c r="V2" s="93" t="str">
        <f t="shared" si="0"/>
        <v/>
      </c>
      <c r="W2" s="93" t="str">
        <f t="shared" si="0"/>
        <v/>
      </c>
      <c r="X2" s="93" t="str">
        <f t="shared" si="0"/>
        <v/>
      </c>
      <c r="Y2" s="93" t="str">
        <f t="shared" si="0"/>
        <v/>
      </c>
      <c r="Z2" s="93" t="str">
        <f t="shared" si="0"/>
        <v/>
      </c>
      <c r="AA2" s="93" t="str">
        <f t="shared" si="0"/>
        <v/>
      </c>
      <c r="AB2" s="93" t="str">
        <f t="shared" si="0"/>
        <v/>
      </c>
      <c r="AC2" s="93" t="str">
        <f t="shared" si="0"/>
        <v/>
      </c>
      <c r="AD2" s="93" t="str">
        <f t="shared" si="0"/>
        <v/>
      </c>
      <c r="AE2" s="93" t="str">
        <f t="shared" si="0"/>
        <v/>
      </c>
      <c r="AF2" s="93" t="str">
        <f t="shared" si="0"/>
        <v/>
      </c>
      <c r="AG2" s="93" t="str">
        <f t="shared" si="0"/>
        <v/>
      </c>
      <c r="AH2" s="93" t="str">
        <f t="shared" si="0"/>
        <v>MAY 2026</v>
      </c>
      <c r="AI2" s="93" t="str">
        <f t="shared" si="0"/>
        <v/>
      </c>
      <c r="AJ2" s="93" t="str">
        <f t="shared" si="0"/>
        <v/>
      </c>
      <c r="AK2" s="93" t="str">
        <f t="shared" si="0"/>
        <v/>
      </c>
      <c r="AL2" s="93" t="str">
        <f t="shared" si="0"/>
        <v/>
      </c>
      <c r="AM2" s="93" t="str">
        <f t="shared" si="0"/>
        <v/>
      </c>
      <c r="AN2" s="93" t="str">
        <f t="shared" si="0"/>
        <v/>
      </c>
      <c r="AO2" s="93" t="str">
        <f t="shared" si="0"/>
        <v/>
      </c>
      <c r="AP2" s="93" t="str">
        <f t="shared" si="0"/>
        <v/>
      </c>
      <c r="AQ2" s="93" t="str">
        <f t="shared" si="0"/>
        <v/>
      </c>
      <c r="AR2" s="93" t="str">
        <f t="shared" si="0"/>
        <v/>
      </c>
      <c r="AS2" s="93" t="str">
        <f t="shared" si="0"/>
        <v/>
      </c>
      <c r="AT2" s="93" t="str">
        <f t="shared" si="0"/>
        <v/>
      </c>
      <c r="AU2" s="93" t="str">
        <f t="shared" si="0"/>
        <v/>
      </c>
      <c r="AV2" s="93" t="str">
        <f t="shared" si="0"/>
        <v/>
      </c>
      <c r="AW2" s="93" t="str">
        <f t="shared" si="0"/>
        <v/>
      </c>
      <c r="AX2" s="93" t="str">
        <f t="shared" si="0"/>
        <v/>
      </c>
      <c r="AY2" s="93" t="str">
        <f t="shared" si="0"/>
        <v/>
      </c>
      <c r="AZ2" s="93" t="str">
        <f t="shared" si="0"/>
        <v/>
      </c>
      <c r="BA2" s="93" t="str">
        <f t="shared" si="0"/>
        <v/>
      </c>
      <c r="BB2" s="93" t="str">
        <f t="shared" si="0"/>
        <v>JUN 2026</v>
      </c>
      <c r="BC2" s="93" t="str">
        <f t="shared" si="0"/>
        <v/>
      </c>
      <c r="BD2" s="93" t="str">
        <f t="shared" si="0"/>
        <v/>
      </c>
      <c r="BE2" s="93" t="str">
        <f t="shared" si="0"/>
        <v/>
      </c>
      <c r="BF2" s="93" t="str">
        <f t="shared" si="0"/>
        <v/>
      </c>
      <c r="BG2" s="93" t="str">
        <f t="shared" si="0"/>
        <v/>
      </c>
      <c r="BH2" s="93" t="str">
        <f t="shared" si="0"/>
        <v/>
      </c>
      <c r="BI2" s="93" t="str">
        <f t="shared" si="0"/>
        <v/>
      </c>
      <c r="BJ2" s="93" t="str">
        <f t="shared" si="0"/>
        <v/>
      </c>
      <c r="BK2" s="93" t="str">
        <f t="shared" si="0"/>
        <v/>
      </c>
      <c r="BL2" s="93" t="str">
        <f t="shared" si="0"/>
        <v/>
      </c>
      <c r="BM2" s="93" t="str">
        <f t="shared" si="0"/>
        <v/>
      </c>
      <c r="BN2" s="93" t="str">
        <f t="shared" si="0"/>
        <v/>
      </c>
      <c r="BO2" s="93" t="str">
        <f t="shared" si="0"/>
        <v/>
      </c>
      <c r="BP2" s="93" t="str">
        <f t="shared" si="0"/>
        <v/>
      </c>
      <c r="BQ2" s="93" t="str">
        <f t="shared" si="0"/>
        <v/>
      </c>
      <c r="BR2" s="93" t="str">
        <f t="shared" si="0"/>
        <v/>
      </c>
      <c r="BS2" s="93" t="str">
        <f t="shared" si="0"/>
        <v/>
      </c>
      <c r="BT2" s="93" t="str">
        <f t="shared" si="0"/>
        <v/>
      </c>
      <c r="BU2" s="93" t="str">
        <f t="shared" si="0"/>
        <v/>
      </c>
      <c r="BV2" s="93" t="str">
        <f t="shared" si="0"/>
        <v/>
      </c>
      <c r="BW2" s="93" t="str">
        <f t="shared" si="0"/>
        <v>JUL 2026</v>
      </c>
      <c r="BX2" s="93" t="str">
        <f t="shared" si="0"/>
        <v/>
      </c>
      <c r="BY2" s="93" t="str">
        <f t="shared" si="0"/>
        <v/>
      </c>
      <c r="BZ2" s="93" t="str">
        <f t="shared" ref="BZ2:EK2" si="1">IF(BZ3="","",IF(OR(BY3="",TEXT(BZ3,"mmm")&lt;&gt;TEXT(BY3,"mmm")),UPPER(TEXT(BZ3,"mmm yyyy")),""))</f>
        <v/>
      </c>
      <c r="CA2" s="93" t="str">
        <f t="shared" si="1"/>
        <v/>
      </c>
      <c r="CB2" s="93" t="str">
        <f t="shared" si="1"/>
        <v/>
      </c>
      <c r="CC2" s="93" t="str">
        <f t="shared" si="1"/>
        <v/>
      </c>
      <c r="CD2" s="93" t="str">
        <f t="shared" si="1"/>
        <v/>
      </c>
      <c r="CE2" s="93" t="str">
        <f t="shared" si="1"/>
        <v/>
      </c>
      <c r="CF2" s="93" t="str">
        <f t="shared" si="1"/>
        <v/>
      </c>
      <c r="CG2" s="93" t="str">
        <f t="shared" si="1"/>
        <v/>
      </c>
      <c r="CH2" s="93" t="str">
        <f t="shared" si="1"/>
        <v/>
      </c>
      <c r="CI2" s="93" t="str">
        <f t="shared" si="1"/>
        <v/>
      </c>
      <c r="CJ2" s="93" t="str">
        <f t="shared" si="1"/>
        <v/>
      </c>
      <c r="CK2" s="93" t="str">
        <f t="shared" si="1"/>
        <v/>
      </c>
      <c r="CL2" s="93" t="str">
        <f t="shared" si="1"/>
        <v/>
      </c>
      <c r="CM2" s="93" t="str">
        <f t="shared" si="1"/>
        <v/>
      </c>
      <c r="CN2" s="93" t="str">
        <f t="shared" si="1"/>
        <v/>
      </c>
      <c r="CO2" s="93" t="str">
        <f t="shared" si="1"/>
        <v/>
      </c>
      <c r="CP2" s="93" t="str">
        <f t="shared" si="1"/>
        <v/>
      </c>
      <c r="CQ2" s="93" t="str">
        <f t="shared" si="1"/>
        <v/>
      </c>
      <c r="CR2" s="93" t="str">
        <f t="shared" si="1"/>
        <v/>
      </c>
      <c r="CS2" s="93" t="str">
        <f t="shared" si="1"/>
        <v/>
      </c>
      <c r="CT2" s="93" t="str">
        <f t="shared" si="1"/>
        <v/>
      </c>
      <c r="CU2" s="93" t="str">
        <f t="shared" si="1"/>
        <v/>
      </c>
      <c r="CV2" s="93" t="str">
        <f t="shared" si="1"/>
        <v/>
      </c>
      <c r="CW2" s="93" t="str">
        <f t="shared" si="1"/>
        <v/>
      </c>
      <c r="CX2" s="93" t="str">
        <f t="shared" si="1"/>
        <v/>
      </c>
      <c r="CY2" s="93" t="str">
        <f t="shared" si="1"/>
        <v/>
      </c>
      <c r="CZ2" s="93" t="str">
        <f t="shared" si="1"/>
        <v/>
      </c>
      <c r="DA2" s="93" t="str">
        <f t="shared" si="1"/>
        <v/>
      </c>
      <c r="DB2" s="93" t="str">
        <f t="shared" si="1"/>
        <v/>
      </c>
      <c r="DC2" s="93" t="str">
        <f t="shared" si="1"/>
        <v/>
      </c>
      <c r="DD2" s="93" t="str">
        <f t="shared" si="1"/>
        <v/>
      </c>
      <c r="DE2" s="93" t="str">
        <f t="shared" si="1"/>
        <v/>
      </c>
      <c r="DF2" s="93" t="str">
        <f t="shared" si="1"/>
        <v/>
      </c>
      <c r="DG2" s="93" t="str">
        <f t="shared" si="1"/>
        <v/>
      </c>
      <c r="DH2" s="93" t="str">
        <f t="shared" si="1"/>
        <v/>
      </c>
      <c r="DI2" s="93" t="str">
        <f t="shared" si="1"/>
        <v/>
      </c>
      <c r="DJ2" s="93" t="str">
        <f t="shared" si="1"/>
        <v/>
      </c>
      <c r="DK2" s="93" t="str">
        <f t="shared" si="1"/>
        <v/>
      </c>
      <c r="DL2" s="93" t="str">
        <f t="shared" si="1"/>
        <v/>
      </c>
      <c r="DM2" s="93" t="str">
        <f t="shared" si="1"/>
        <v/>
      </c>
      <c r="DN2" s="93" t="str">
        <f t="shared" si="1"/>
        <v/>
      </c>
      <c r="DO2" s="93" t="str">
        <f t="shared" si="1"/>
        <v/>
      </c>
      <c r="DP2" s="93" t="str">
        <f t="shared" si="1"/>
        <v/>
      </c>
      <c r="DQ2" s="93" t="str">
        <f t="shared" si="1"/>
        <v/>
      </c>
      <c r="DR2" s="93" t="str">
        <f t="shared" si="1"/>
        <v/>
      </c>
      <c r="DS2" s="93" t="str">
        <f t="shared" si="1"/>
        <v/>
      </c>
      <c r="DT2" s="93" t="str">
        <f t="shared" si="1"/>
        <v/>
      </c>
      <c r="DU2" s="93" t="str">
        <f t="shared" si="1"/>
        <v/>
      </c>
      <c r="DV2" s="93" t="str">
        <f t="shared" si="1"/>
        <v/>
      </c>
      <c r="DW2" s="93" t="str">
        <f t="shared" si="1"/>
        <v/>
      </c>
      <c r="DX2" s="93" t="str">
        <f t="shared" si="1"/>
        <v/>
      </c>
      <c r="DY2" s="93" t="str">
        <f t="shared" si="1"/>
        <v/>
      </c>
      <c r="DZ2" s="93" t="str">
        <f t="shared" si="1"/>
        <v/>
      </c>
      <c r="EA2" s="93" t="str">
        <f t="shared" si="1"/>
        <v/>
      </c>
      <c r="EB2" s="93" t="str">
        <f t="shared" si="1"/>
        <v/>
      </c>
      <c r="EC2" s="93" t="str">
        <f t="shared" si="1"/>
        <v/>
      </c>
      <c r="ED2" s="93" t="str">
        <f t="shared" si="1"/>
        <v/>
      </c>
      <c r="EE2" s="93" t="str">
        <f t="shared" si="1"/>
        <v/>
      </c>
      <c r="EF2" s="93" t="str">
        <f t="shared" si="1"/>
        <v/>
      </c>
      <c r="EG2" s="93" t="str">
        <f t="shared" si="1"/>
        <v/>
      </c>
      <c r="EH2" s="93" t="str">
        <f t="shared" si="1"/>
        <v/>
      </c>
      <c r="EI2" s="93" t="str">
        <f t="shared" si="1"/>
        <v/>
      </c>
      <c r="EJ2" s="93" t="str">
        <f t="shared" si="1"/>
        <v/>
      </c>
      <c r="EK2" s="93" t="str">
        <f t="shared" si="1"/>
        <v/>
      </c>
      <c r="EL2" s="93" t="str">
        <f t="shared" ref="EL2:GW2" si="2">IF(EL3="","",IF(OR(EK3="",TEXT(EL3,"mmm")&lt;&gt;TEXT(EK3,"mmm")),UPPER(TEXT(EL3,"mmm yyyy")),""))</f>
        <v/>
      </c>
      <c r="EM2" s="93" t="str">
        <f t="shared" si="2"/>
        <v/>
      </c>
      <c r="EN2" s="93" t="str">
        <f t="shared" si="2"/>
        <v/>
      </c>
      <c r="EO2" s="93" t="str">
        <f t="shared" si="2"/>
        <v/>
      </c>
      <c r="EP2" s="93" t="str">
        <f t="shared" si="2"/>
        <v/>
      </c>
      <c r="EQ2" s="93" t="str">
        <f t="shared" si="2"/>
        <v/>
      </c>
      <c r="ER2" s="93" t="str">
        <f t="shared" si="2"/>
        <v/>
      </c>
      <c r="ES2" s="93" t="str">
        <f t="shared" si="2"/>
        <v/>
      </c>
      <c r="ET2" s="93" t="str">
        <f t="shared" si="2"/>
        <v/>
      </c>
      <c r="EU2" s="93" t="str">
        <f t="shared" si="2"/>
        <v/>
      </c>
      <c r="EV2" s="93" t="str">
        <f t="shared" si="2"/>
        <v/>
      </c>
      <c r="EW2" s="93" t="str">
        <f t="shared" si="2"/>
        <v/>
      </c>
      <c r="EX2" s="93" t="str">
        <f t="shared" si="2"/>
        <v/>
      </c>
      <c r="EY2" s="93" t="str">
        <f t="shared" si="2"/>
        <v/>
      </c>
      <c r="EZ2" s="93" t="str">
        <f t="shared" si="2"/>
        <v/>
      </c>
      <c r="FA2" s="93" t="str">
        <f t="shared" si="2"/>
        <v/>
      </c>
      <c r="FB2" s="93" t="str">
        <f t="shared" si="2"/>
        <v/>
      </c>
      <c r="FC2" s="93" t="str">
        <f t="shared" si="2"/>
        <v/>
      </c>
      <c r="FD2" s="93" t="str">
        <f t="shared" si="2"/>
        <v/>
      </c>
      <c r="FE2" s="93" t="str">
        <f t="shared" si="2"/>
        <v/>
      </c>
      <c r="FF2" s="93" t="str">
        <f t="shared" si="2"/>
        <v/>
      </c>
      <c r="FG2" s="93" t="str">
        <f t="shared" si="2"/>
        <v/>
      </c>
      <c r="FH2" s="93" t="str">
        <f t="shared" si="2"/>
        <v/>
      </c>
      <c r="FI2" s="93" t="str">
        <f t="shared" si="2"/>
        <v/>
      </c>
      <c r="FJ2" s="93" t="str">
        <f t="shared" si="2"/>
        <v/>
      </c>
      <c r="FK2" s="93" t="str">
        <f t="shared" si="2"/>
        <v/>
      </c>
      <c r="FL2" s="93" t="str">
        <f t="shared" si="2"/>
        <v/>
      </c>
      <c r="FM2" s="93" t="str">
        <f t="shared" si="2"/>
        <v/>
      </c>
      <c r="FN2" s="93" t="str">
        <f t="shared" si="2"/>
        <v/>
      </c>
      <c r="FO2" s="93" t="str">
        <f t="shared" si="2"/>
        <v/>
      </c>
      <c r="FP2" s="93" t="str">
        <f t="shared" si="2"/>
        <v/>
      </c>
      <c r="FQ2" s="93" t="str">
        <f t="shared" si="2"/>
        <v/>
      </c>
      <c r="FR2" s="93" t="str">
        <f t="shared" si="2"/>
        <v/>
      </c>
      <c r="FS2" s="93" t="str">
        <f t="shared" si="2"/>
        <v/>
      </c>
      <c r="FT2" s="93" t="str">
        <f t="shared" si="2"/>
        <v/>
      </c>
      <c r="FU2" s="93" t="str">
        <f t="shared" si="2"/>
        <v/>
      </c>
      <c r="FV2" s="93" t="str">
        <f t="shared" si="2"/>
        <v/>
      </c>
      <c r="FW2" s="93" t="str">
        <f t="shared" si="2"/>
        <v/>
      </c>
      <c r="FX2" s="93" t="str">
        <f t="shared" si="2"/>
        <v/>
      </c>
      <c r="FY2" s="93" t="str">
        <f t="shared" si="2"/>
        <v/>
      </c>
      <c r="FZ2" s="93" t="str">
        <f t="shared" si="2"/>
        <v/>
      </c>
      <c r="GA2" s="93" t="str">
        <f t="shared" si="2"/>
        <v/>
      </c>
      <c r="GB2" s="93" t="str">
        <f t="shared" si="2"/>
        <v/>
      </c>
      <c r="GC2" s="93" t="str">
        <f t="shared" si="2"/>
        <v/>
      </c>
      <c r="GD2" s="93" t="str">
        <f t="shared" si="2"/>
        <v/>
      </c>
      <c r="GE2" s="93" t="str">
        <f t="shared" si="2"/>
        <v/>
      </c>
      <c r="GF2" s="93" t="str">
        <f t="shared" si="2"/>
        <v/>
      </c>
      <c r="GG2" s="93" t="str">
        <f t="shared" si="2"/>
        <v/>
      </c>
      <c r="GH2" s="93" t="str">
        <f t="shared" si="2"/>
        <v/>
      </c>
      <c r="GI2" s="93" t="str">
        <f t="shared" si="2"/>
        <v/>
      </c>
      <c r="GJ2" s="93" t="str">
        <f t="shared" si="2"/>
        <v/>
      </c>
      <c r="GK2" s="93" t="str">
        <f t="shared" si="2"/>
        <v/>
      </c>
      <c r="GL2" s="93" t="str">
        <f t="shared" si="2"/>
        <v/>
      </c>
      <c r="GM2" s="93" t="str">
        <f t="shared" si="2"/>
        <v/>
      </c>
      <c r="GN2" s="93" t="str">
        <f t="shared" si="2"/>
        <v/>
      </c>
      <c r="GO2" s="93" t="str">
        <f t="shared" si="2"/>
        <v/>
      </c>
      <c r="GP2" s="93" t="str">
        <f t="shared" si="2"/>
        <v/>
      </c>
      <c r="GQ2" s="93" t="str">
        <f t="shared" si="2"/>
        <v/>
      </c>
      <c r="GR2" s="93" t="str">
        <f t="shared" si="2"/>
        <v/>
      </c>
      <c r="GS2" s="93" t="str">
        <f t="shared" si="2"/>
        <v/>
      </c>
      <c r="GT2" s="93" t="str">
        <f t="shared" si="2"/>
        <v/>
      </c>
      <c r="GU2" s="93" t="str">
        <f t="shared" si="2"/>
        <v/>
      </c>
      <c r="GV2" s="93" t="str">
        <f t="shared" si="2"/>
        <v/>
      </c>
      <c r="GW2" s="93" t="str">
        <f t="shared" si="2"/>
        <v/>
      </c>
      <c r="GX2" s="93" t="str">
        <f t="shared" ref="GX2:JI2" si="3">IF(GX3="","",IF(OR(GW3="",TEXT(GX3,"mmm")&lt;&gt;TEXT(GW3,"mmm")),UPPER(TEXT(GX3,"mmm yyyy")),""))</f>
        <v/>
      </c>
      <c r="GY2" s="93" t="str">
        <f t="shared" si="3"/>
        <v/>
      </c>
      <c r="GZ2" s="93" t="str">
        <f t="shared" si="3"/>
        <v/>
      </c>
      <c r="HA2" s="93" t="str">
        <f t="shared" si="3"/>
        <v/>
      </c>
      <c r="HB2" s="93" t="str">
        <f t="shared" si="3"/>
        <v/>
      </c>
      <c r="HC2" s="93" t="str">
        <f t="shared" si="3"/>
        <v/>
      </c>
      <c r="HD2" s="93" t="str">
        <f t="shared" si="3"/>
        <v/>
      </c>
      <c r="HE2" s="93" t="str">
        <f t="shared" si="3"/>
        <v/>
      </c>
      <c r="HF2" s="93" t="str">
        <f t="shared" si="3"/>
        <v/>
      </c>
      <c r="HG2" s="93" t="str">
        <f t="shared" si="3"/>
        <v/>
      </c>
      <c r="HH2" s="93" t="str">
        <f t="shared" si="3"/>
        <v/>
      </c>
      <c r="HI2" s="93" t="str">
        <f t="shared" si="3"/>
        <v/>
      </c>
      <c r="HJ2" s="93" t="str">
        <f t="shared" si="3"/>
        <v/>
      </c>
      <c r="HK2" s="93" t="str">
        <f t="shared" si="3"/>
        <v/>
      </c>
      <c r="HL2" s="93" t="str">
        <f t="shared" si="3"/>
        <v/>
      </c>
      <c r="HM2" s="93" t="str">
        <f t="shared" si="3"/>
        <v/>
      </c>
      <c r="HN2" s="93" t="str">
        <f t="shared" si="3"/>
        <v/>
      </c>
      <c r="HO2" s="93" t="str">
        <f t="shared" si="3"/>
        <v/>
      </c>
      <c r="HP2" s="93" t="str">
        <f t="shared" si="3"/>
        <v/>
      </c>
      <c r="HQ2" s="93" t="str">
        <f t="shared" si="3"/>
        <v/>
      </c>
      <c r="HR2" s="93" t="str">
        <f t="shared" si="3"/>
        <v/>
      </c>
      <c r="HS2" s="93" t="str">
        <f t="shared" si="3"/>
        <v/>
      </c>
      <c r="HT2" s="93" t="str">
        <f t="shared" si="3"/>
        <v/>
      </c>
      <c r="HU2" s="93" t="str">
        <f t="shared" si="3"/>
        <v/>
      </c>
      <c r="HV2" s="93" t="str">
        <f t="shared" si="3"/>
        <v/>
      </c>
      <c r="HW2" s="93" t="str">
        <f t="shared" si="3"/>
        <v/>
      </c>
      <c r="HX2" s="93" t="str">
        <f t="shared" si="3"/>
        <v/>
      </c>
      <c r="HY2" s="93" t="str">
        <f t="shared" si="3"/>
        <v/>
      </c>
      <c r="HZ2" s="93" t="str">
        <f t="shared" si="3"/>
        <v/>
      </c>
      <c r="IA2" s="93" t="str">
        <f t="shared" si="3"/>
        <v/>
      </c>
      <c r="IB2" s="93" t="str">
        <f t="shared" si="3"/>
        <v/>
      </c>
      <c r="IC2" s="93" t="str">
        <f t="shared" si="3"/>
        <v/>
      </c>
      <c r="ID2" s="93" t="str">
        <f t="shared" si="3"/>
        <v/>
      </c>
      <c r="IE2" s="93" t="str">
        <f t="shared" si="3"/>
        <v/>
      </c>
      <c r="IF2" s="93" t="str">
        <f t="shared" si="3"/>
        <v/>
      </c>
      <c r="IG2" s="93" t="str">
        <f t="shared" si="3"/>
        <v/>
      </c>
      <c r="IH2" s="93" t="str">
        <f t="shared" si="3"/>
        <v/>
      </c>
      <c r="II2" s="93" t="str">
        <f t="shared" si="3"/>
        <v/>
      </c>
      <c r="IJ2" s="93" t="str">
        <f t="shared" si="3"/>
        <v/>
      </c>
      <c r="IK2" s="93" t="str">
        <f t="shared" si="3"/>
        <v/>
      </c>
      <c r="IL2" s="93" t="str">
        <f t="shared" si="3"/>
        <v/>
      </c>
      <c r="IM2" s="93" t="str">
        <f t="shared" si="3"/>
        <v/>
      </c>
      <c r="IN2" s="93" t="str">
        <f t="shared" si="3"/>
        <v/>
      </c>
      <c r="IO2" s="93" t="str">
        <f t="shared" si="3"/>
        <v/>
      </c>
      <c r="IP2" s="93" t="str">
        <f t="shared" si="3"/>
        <v/>
      </c>
      <c r="IQ2" s="93" t="str">
        <f t="shared" si="3"/>
        <v/>
      </c>
      <c r="IR2" s="93" t="str">
        <f t="shared" si="3"/>
        <v/>
      </c>
      <c r="IS2" s="93" t="str">
        <f t="shared" si="3"/>
        <v/>
      </c>
      <c r="IT2" s="93" t="str">
        <f t="shared" si="3"/>
        <v/>
      </c>
      <c r="IU2" s="93" t="str">
        <f t="shared" si="3"/>
        <v/>
      </c>
      <c r="IV2" s="93" t="str">
        <f t="shared" si="3"/>
        <v/>
      </c>
      <c r="IW2" s="93" t="str">
        <f t="shared" si="3"/>
        <v/>
      </c>
      <c r="IX2" s="93" t="str">
        <f t="shared" si="3"/>
        <v/>
      </c>
      <c r="IY2" s="93" t="str">
        <f t="shared" si="3"/>
        <v/>
      </c>
      <c r="IZ2" s="93" t="str">
        <f t="shared" si="3"/>
        <v/>
      </c>
      <c r="JA2" s="93" t="str">
        <f t="shared" si="3"/>
        <v/>
      </c>
      <c r="JB2" s="93" t="str">
        <f t="shared" si="3"/>
        <v/>
      </c>
      <c r="JC2" s="93" t="str">
        <f t="shared" si="3"/>
        <v/>
      </c>
      <c r="JD2" s="93" t="str">
        <f t="shared" si="3"/>
        <v/>
      </c>
      <c r="JE2" s="93" t="str">
        <f t="shared" si="3"/>
        <v/>
      </c>
      <c r="JF2" s="93" t="str">
        <f t="shared" si="3"/>
        <v/>
      </c>
      <c r="JG2" s="93" t="str">
        <f t="shared" si="3"/>
        <v/>
      </c>
      <c r="JH2" s="93" t="str">
        <f t="shared" si="3"/>
        <v/>
      </c>
      <c r="JI2" s="93" t="str">
        <f t="shared" si="3"/>
        <v/>
      </c>
      <c r="JJ2" s="93" t="str">
        <f t="shared" ref="JJ2:JL2" si="4">IF(JJ3="","",IF(OR(JI3="",TEXT(JJ3,"mmm")&lt;&gt;TEXT(JI3,"mmm")),UPPER(TEXT(JJ3,"mmm yyyy")),""))</f>
        <v/>
      </c>
      <c r="JK2" s="93" t="str">
        <f t="shared" si="4"/>
        <v/>
      </c>
      <c r="JL2" s="93" t="str">
        <f t="shared" si="4"/>
        <v/>
      </c>
    </row>
    <row r="3" spans="1:272" s="85" customFormat="1" ht="19.95" customHeight="1" x14ac:dyDescent="0.3">
      <c r="A3" s="94" t="s">
        <v>39</v>
      </c>
      <c r="B3" s="94" t="s">
        <v>40</v>
      </c>
      <c r="C3" s="94" t="s">
        <v>41</v>
      </c>
      <c r="D3" s="94" t="s">
        <v>42</v>
      </c>
      <c r="E3" s="94" t="s">
        <v>43</v>
      </c>
      <c r="F3" s="94" t="s">
        <v>44</v>
      </c>
      <c r="G3" s="95" t="s">
        <v>45</v>
      </c>
      <c r="H3" s="95" t="s">
        <v>46</v>
      </c>
      <c r="I3" s="95" t="s">
        <v>47</v>
      </c>
      <c r="J3" s="94" t="s">
        <v>48</v>
      </c>
      <c r="K3" s="94" t="s">
        <v>49</v>
      </c>
      <c r="L3" s="94" t="s">
        <v>50</v>
      </c>
      <c r="M3" s="96">
        <f>IF(1&gt;HorizonteDias,"",FechaInicioProyecto)</f>
        <v>46113</v>
      </c>
      <c r="N3" s="96">
        <f>IF(2&gt;HorizonteDias,"",IFERROR(WORKDAY(M3,1,Feriados_BO_2026),WORKDAY(FechaInicioProyecto,1,Feriados_BO_2026)))</f>
        <v>46114</v>
      </c>
      <c r="O3" s="96">
        <f>IF(3&gt;HorizonteDias,"",IFERROR(WORKDAY(N3,1,Feriados_BO_2026),WORKDAY(FechaInicioProyecto,2,Feriados_BO_2026)))</f>
        <v>46118</v>
      </c>
      <c r="P3" s="96">
        <f>IF(4&gt;HorizonteDias,"",IFERROR(WORKDAY(O3,1,Feriados_BO_2026),WORKDAY(FechaInicioProyecto,3,Feriados_BO_2026)))</f>
        <v>46119</v>
      </c>
      <c r="Q3" s="96">
        <f>IF(5&gt;HorizonteDias,"",IFERROR(WORKDAY(P3,1,Feriados_BO_2026),WORKDAY(FechaInicioProyecto,4,Feriados_BO_2026)))</f>
        <v>46120</v>
      </c>
      <c r="R3" s="96">
        <f>IF(6&gt;HorizonteDias,"",IFERROR(WORKDAY(Q3,1,Feriados_BO_2026),WORKDAY(FechaInicioProyecto,5,Feriados_BO_2026)))</f>
        <v>46121</v>
      </c>
      <c r="S3" s="96">
        <f>IF(7&gt;HorizonteDias,"",IFERROR(WORKDAY(R3,1,Feriados_BO_2026),WORKDAY(FechaInicioProyecto,6,Feriados_BO_2026)))</f>
        <v>46122</v>
      </c>
      <c r="T3" s="96">
        <f>IF(8&gt;HorizonteDias,"",IFERROR(WORKDAY(S3,1,Feriados_BO_2026),WORKDAY(FechaInicioProyecto,7,Feriados_BO_2026)))</f>
        <v>46125</v>
      </c>
      <c r="U3" s="96">
        <f>IF(9&gt;HorizonteDias,"",IFERROR(WORKDAY(T3,1,Feriados_BO_2026),WORKDAY(FechaInicioProyecto,8,Feriados_BO_2026)))</f>
        <v>46126</v>
      </c>
      <c r="V3" s="96">
        <f>IF(10&gt;HorizonteDias,"",IFERROR(WORKDAY(U3,1,Feriados_BO_2026),WORKDAY(FechaInicioProyecto,9,Feriados_BO_2026)))</f>
        <v>46127</v>
      </c>
      <c r="W3" s="96">
        <f>IF(11&gt;HorizonteDias,"",IFERROR(WORKDAY(V3,1,Feriados_BO_2026),WORKDAY(FechaInicioProyecto,10,Feriados_BO_2026)))</f>
        <v>46128</v>
      </c>
      <c r="X3" s="96">
        <f>IF(12&gt;HorizonteDias,"",IFERROR(WORKDAY(W3,1,Feriados_BO_2026),WORKDAY(FechaInicioProyecto,11,Feriados_BO_2026)))</f>
        <v>46129</v>
      </c>
      <c r="Y3" s="96">
        <f>IF(13&gt;HorizonteDias,"",IFERROR(WORKDAY(X3,1,Feriados_BO_2026),WORKDAY(FechaInicioProyecto,12,Feriados_BO_2026)))</f>
        <v>46132</v>
      </c>
      <c r="Z3" s="96">
        <f>IF(14&gt;HorizonteDias,"",IFERROR(WORKDAY(Y3,1,Feriados_BO_2026),WORKDAY(FechaInicioProyecto,13,Feriados_BO_2026)))</f>
        <v>46133</v>
      </c>
      <c r="AA3" s="96">
        <f>IF(15&gt;HorizonteDias,"",IFERROR(WORKDAY(Z3,1,Feriados_BO_2026),WORKDAY(FechaInicioProyecto,14,Feriados_BO_2026)))</f>
        <v>46134</v>
      </c>
      <c r="AB3" s="96">
        <f>IF(16&gt;HorizonteDias,"",IFERROR(WORKDAY(AA3,1,Feriados_BO_2026),WORKDAY(FechaInicioProyecto,15,Feriados_BO_2026)))</f>
        <v>46135</v>
      </c>
      <c r="AC3" s="96">
        <f>IF(17&gt;HorizonteDias,"",IFERROR(WORKDAY(AB3,1,Feriados_BO_2026),WORKDAY(FechaInicioProyecto,16,Feriados_BO_2026)))</f>
        <v>46136</v>
      </c>
      <c r="AD3" s="96">
        <f>IF(18&gt;HorizonteDias,"",IFERROR(WORKDAY(AC3,1,Feriados_BO_2026),WORKDAY(FechaInicioProyecto,17,Feriados_BO_2026)))</f>
        <v>46139</v>
      </c>
      <c r="AE3" s="96">
        <f>IF(19&gt;HorizonteDias,"",IFERROR(WORKDAY(AD3,1,Feriados_BO_2026),WORKDAY(FechaInicioProyecto,18,Feriados_BO_2026)))</f>
        <v>46140</v>
      </c>
      <c r="AF3" s="96">
        <f>IF(20&gt;HorizonteDias,"",IFERROR(WORKDAY(AE3,1,Feriados_BO_2026),WORKDAY(FechaInicioProyecto,19,Feriados_BO_2026)))</f>
        <v>46141</v>
      </c>
      <c r="AG3" s="96">
        <f>IF(21&gt;HorizonteDias,"",IFERROR(WORKDAY(AF3,1,Feriados_BO_2026),WORKDAY(FechaInicioProyecto,20,Feriados_BO_2026)))</f>
        <v>46142</v>
      </c>
      <c r="AH3" s="96">
        <f>IF(22&gt;HorizonteDias,"",IFERROR(WORKDAY(AG3,1,Feriados_BO_2026),WORKDAY(FechaInicioProyecto,21,Feriados_BO_2026)))</f>
        <v>46146</v>
      </c>
      <c r="AI3" s="96">
        <f>IF(23&gt;HorizonteDias,"",IFERROR(WORKDAY(AH3,1,Feriados_BO_2026),WORKDAY(FechaInicioProyecto,22,Feriados_BO_2026)))</f>
        <v>46147</v>
      </c>
      <c r="AJ3" s="96">
        <f>IF(24&gt;HorizonteDias,"",IFERROR(WORKDAY(AI3,1,Feriados_BO_2026),WORKDAY(FechaInicioProyecto,23,Feriados_BO_2026)))</f>
        <v>46148</v>
      </c>
      <c r="AK3" s="96">
        <f>IF(25&gt;HorizonteDias,"",IFERROR(WORKDAY(AJ3,1,Feriados_BO_2026),WORKDAY(FechaInicioProyecto,24,Feriados_BO_2026)))</f>
        <v>46149</v>
      </c>
      <c r="AL3" s="96">
        <f>IF(26&gt;HorizonteDias,"",IFERROR(WORKDAY(AK3,1,Feriados_BO_2026),WORKDAY(FechaInicioProyecto,25,Feriados_BO_2026)))</f>
        <v>46150</v>
      </c>
      <c r="AM3" s="96">
        <f>IF(27&gt;HorizonteDias,"",IFERROR(WORKDAY(AL3,1,Feriados_BO_2026),WORKDAY(FechaInicioProyecto,26,Feriados_BO_2026)))</f>
        <v>46153</v>
      </c>
      <c r="AN3" s="96">
        <f>IF(28&gt;HorizonteDias,"",IFERROR(WORKDAY(AM3,1,Feriados_BO_2026),WORKDAY(FechaInicioProyecto,27,Feriados_BO_2026)))</f>
        <v>46154</v>
      </c>
      <c r="AO3" s="96">
        <f>IF(29&gt;HorizonteDias,"",IFERROR(WORKDAY(AN3,1,Feriados_BO_2026),WORKDAY(FechaInicioProyecto,28,Feriados_BO_2026)))</f>
        <v>46155</v>
      </c>
      <c r="AP3" s="96">
        <f>IF(30&gt;HorizonteDias,"",IFERROR(WORKDAY(AO3,1,Feriados_BO_2026),WORKDAY(FechaInicioProyecto,29,Feriados_BO_2026)))</f>
        <v>46156</v>
      </c>
      <c r="AQ3" s="96">
        <f>IF(31&gt;HorizonteDias,"",IFERROR(WORKDAY(AP3,1,Feriados_BO_2026),WORKDAY(FechaInicioProyecto,30,Feriados_BO_2026)))</f>
        <v>46157</v>
      </c>
      <c r="AR3" s="96">
        <f>IF(32&gt;HorizonteDias,"",IFERROR(WORKDAY(AQ3,1,Feriados_BO_2026),WORKDAY(FechaInicioProyecto,31,Feriados_BO_2026)))</f>
        <v>46160</v>
      </c>
      <c r="AS3" s="96">
        <f>IF(33&gt;HorizonteDias,"",IFERROR(WORKDAY(AR3,1,Feriados_BO_2026),WORKDAY(FechaInicioProyecto,32,Feriados_BO_2026)))</f>
        <v>46161</v>
      </c>
      <c r="AT3" s="96">
        <f>IF(34&gt;HorizonteDias,"",IFERROR(WORKDAY(AS3,1,Feriados_BO_2026),WORKDAY(FechaInicioProyecto,33,Feriados_BO_2026)))</f>
        <v>46162</v>
      </c>
      <c r="AU3" s="96">
        <f>IF(35&gt;HorizonteDias,"",IFERROR(WORKDAY(AT3,1,Feriados_BO_2026),WORKDAY(FechaInicioProyecto,34,Feriados_BO_2026)))</f>
        <v>46163</v>
      </c>
      <c r="AV3" s="96">
        <f>IF(36&gt;HorizonteDias,"",IFERROR(WORKDAY(AU3,1,Feriados_BO_2026),WORKDAY(FechaInicioProyecto,35,Feriados_BO_2026)))</f>
        <v>46164</v>
      </c>
      <c r="AW3" s="96">
        <f>IF(37&gt;HorizonteDias,"",IFERROR(WORKDAY(AV3,1,Feriados_BO_2026),WORKDAY(FechaInicioProyecto,36,Feriados_BO_2026)))</f>
        <v>46167</v>
      </c>
      <c r="AX3" s="96">
        <f>IF(38&gt;HorizonteDias,"",IFERROR(WORKDAY(AW3,1,Feriados_BO_2026),WORKDAY(FechaInicioProyecto,37,Feriados_BO_2026)))</f>
        <v>46168</v>
      </c>
      <c r="AY3" s="96">
        <f>IF(39&gt;HorizonteDias,"",IFERROR(WORKDAY(AX3,1,Feriados_BO_2026),WORKDAY(FechaInicioProyecto,38,Feriados_BO_2026)))</f>
        <v>46169</v>
      </c>
      <c r="AZ3" s="96">
        <f>IF(40&gt;HorizonteDias,"",IFERROR(WORKDAY(AY3,1,Feriados_BO_2026),WORKDAY(FechaInicioProyecto,39,Feriados_BO_2026)))</f>
        <v>46170</v>
      </c>
      <c r="BA3" s="96">
        <f>IF(41&gt;HorizonteDias,"",IFERROR(WORKDAY(AZ3,1,Feriados_BO_2026),WORKDAY(FechaInicioProyecto,40,Feriados_BO_2026)))</f>
        <v>46171</v>
      </c>
      <c r="BB3" s="96">
        <f>IF(42&gt;HorizonteDias,"",IFERROR(WORKDAY(BA3,1,Feriados_BO_2026),WORKDAY(FechaInicioProyecto,41,Feriados_BO_2026)))</f>
        <v>46174</v>
      </c>
      <c r="BC3" s="96">
        <f>IF(43&gt;HorizonteDias,"",IFERROR(WORKDAY(BB3,1,Feriados_BO_2026),WORKDAY(FechaInicioProyecto,42,Feriados_BO_2026)))</f>
        <v>46175</v>
      </c>
      <c r="BD3" s="96">
        <f>IF(44&gt;HorizonteDias,"",IFERROR(WORKDAY(BC3,1,Feriados_BO_2026),WORKDAY(FechaInicioProyecto,43,Feriados_BO_2026)))</f>
        <v>46176</v>
      </c>
      <c r="BE3" s="96">
        <f>IF(45&gt;HorizonteDias,"",IFERROR(WORKDAY(BD3,1,Feriados_BO_2026),WORKDAY(FechaInicioProyecto,44,Feriados_BO_2026)))</f>
        <v>46178</v>
      </c>
      <c r="BF3" s="96">
        <f>IF(46&gt;HorizonteDias,"",IFERROR(WORKDAY(BE3,1,Feriados_BO_2026),WORKDAY(FechaInicioProyecto,45,Feriados_BO_2026)))</f>
        <v>46181</v>
      </c>
      <c r="BG3" s="96">
        <f>IF(47&gt;HorizonteDias,"",IFERROR(WORKDAY(BF3,1,Feriados_BO_2026),WORKDAY(FechaInicioProyecto,46,Feriados_BO_2026)))</f>
        <v>46182</v>
      </c>
      <c r="BH3" s="96">
        <f>IF(48&gt;HorizonteDias,"",IFERROR(WORKDAY(BG3,1,Feriados_BO_2026),WORKDAY(FechaInicioProyecto,47,Feriados_BO_2026)))</f>
        <v>46183</v>
      </c>
      <c r="BI3" s="96">
        <f>IF(49&gt;HorizonteDias,"",IFERROR(WORKDAY(BH3,1,Feriados_BO_2026),WORKDAY(FechaInicioProyecto,48,Feriados_BO_2026)))</f>
        <v>46184</v>
      </c>
      <c r="BJ3" s="96">
        <f>IF(50&gt;HorizonteDias,"",IFERROR(WORKDAY(BI3,1,Feriados_BO_2026),WORKDAY(FechaInicioProyecto,49,Feriados_BO_2026)))</f>
        <v>46185</v>
      </c>
      <c r="BK3" s="96">
        <f>IF(51&gt;HorizonteDias,"",IFERROR(WORKDAY(BJ3,1,Feriados_BO_2026),WORKDAY(FechaInicioProyecto,50,Feriados_BO_2026)))</f>
        <v>46188</v>
      </c>
      <c r="BL3" s="96">
        <f>IF(52&gt;HorizonteDias,"",IFERROR(WORKDAY(BK3,1,Feriados_BO_2026),WORKDAY(FechaInicioProyecto,51,Feriados_BO_2026)))</f>
        <v>46189</v>
      </c>
      <c r="BM3" s="96">
        <f>IF(53&gt;HorizonteDias,"",IFERROR(WORKDAY(BL3,1,Feriados_BO_2026),WORKDAY(FechaInicioProyecto,52,Feriados_BO_2026)))</f>
        <v>46190</v>
      </c>
      <c r="BN3" s="96">
        <f>IF(54&gt;HorizonteDias,"",IFERROR(WORKDAY(BM3,1,Feriados_BO_2026),WORKDAY(FechaInicioProyecto,53,Feriados_BO_2026)))</f>
        <v>46191</v>
      </c>
      <c r="BO3" s="96">
        <f>IF(55&gt;HorizonteDias,"",IFERROR(WORKDAY(BN3,1,Feriados_BO_2026),WORKDAY(FechaInicioProyecto,54,Feriados_BO_2026)))</f>
        <v>46192</v>
      </c>
      <c r="BP3" s="96">
        <f>IF(56&gt;HorizonteDias,"",IFERROR(WORKDAY(BO3,1,Feriados_BO_2026),WORKDAY(FechaInicioProyecto,55,Feriados_BO_2026)))</f>
        <v>46195</v>
      </c>
      <c r="BQ3" s="96">
        <f>IF(57&gt;HorizonteDias,"",IFERROR(WORKDAY(BP3,1,Feriados_BO_2026),WORKDAY(FechaInicioProyecto,56,Feriados_BO_2026)))</f>
        <v>46196</v>
      </c>
      <c r="BR3" s="96">
        <f>IF(58&gt;HorizonteDias,"",IFERROR(WORKDAY(BQ3,1,Feriados_BO_2026),WORKDAY(FechaInicioProyecto,57,Feriados_BO_2026)))</f>
        <v>46197</v>
      </c>
      <c r="BS3" s="96">
        <f>IF(59&gt;HorizonteDias,"",IFERROR(WORKDAY(BR3,1,Feriados_BO_2026),WORKDAY(FechaInicioProyecto,58,Feriados_BO_2026)))</f>
        <v>46198</v>
      </c>
      <c r="BT3" s="96">
        <f>IF(60&gt;HorizonteDias,"",IFERROR(WORKDAY(BS3,1,Feriados_BO_2026),WORKDAY(FechaInicioProyecto,59,Feriados_BO_2026)))</f>
        <v>46199</v>
      </c>
      <c r="BU3" s="96">
        <f>IF(61&gt;HorizonteDias,"",IFERROR(WORKDAY(BT3,1,Feriados_BO_2026),WORKDAY(FechaInicioProyecto,60,Feriados_BO_2026)))</f>
        <v>46202</v>
      </c>
      <c r="BV3" s="96">
        <f>IF(62&gt;HorizonteDias,"",IFERROR(WORKDAY(BU3,1,Feriados_BO_2026),WORKDAY(FechaInicioProyecto,61,Feriados_BO_2026)))</f>
        <v>46203</v>
      </c>
      <c r="BW3" s="96">
        <f>IF(63&gt;HorizonteDias,"",IFERROR(WORKDAY(BV3,1,Feriados_BO_2026),WORKDAY(FechaInicioProyecto,62,Feriados_BO_2026)))</f>
        <v>46204</v>
      </c>
      <c r="BX3" s="96">
        <f>IF(64&gt;HorizonteDias,"",IFERROR(WORKDAY(BW3,1,Feriados_BO_2026),WORKDAY(FechaInicioProyecto,63,Feriados_BO_2026)))</f>
        <v>46205</v>
      </c>
      <c r="BY3" s="96">
        <f>IF(65&gt;HorizonteDias,"",IFERROR(WORKDAY(BX3,1,Feriados_BO_2026),WORKDAY(FechaInicioProyecto,64,Feriados_BO_2026)))</f>
        <v>46206</v>
      </c>
      <c r="BZ3" s="96">
        <f>IF(66&gt;HorizonteDias,"",IFERROR(WORKDAY(BY3,1,Feriados_BO_2026),WORKDAY(FechaInicioProyecto,65,Feriados_BO_2026)))</f>
        <v>46209</v>
      </c>
      <c r="CA3" s="96">
        <f>IF(67&gt;HorizonteDias,"",IFERROR(WORKDAY(BZ3,1,Feriados_BO_2026),WORKDAY(FechaInicioProyecto,66,Feriados_BO_2026)))</f>
        <v>46210</v>
      </c>
      <c r="CB3" s="96">
        <f>IF(68&gt;HorizonteDias,"",IFERROR(WORKDAY(CA3,1,Feriados_BO_2026),WORKDAY(FechaInicioProyecto,67,Feriados_BO_2026)))</f>
        <v>46211</v>
      </c>
      <c r="CC3" s="96">
        <f>IF(69&gt;HorizonteDias,"",IFERROR(WORKDAY(CB3,1,Feriados_BO_2026),WORKDAY(FechaInicioProyecto,68,Feriados_BO_2026)))</f>
        <v>46212</v>
      </c>
      <c r="CD3" s="96">
        <f>IF(70&gt;HorizonteDias,"",IFERROR(WORKDAY(CC3,1,Feriados_BO_2026),WORKDAY(FechaInicioProyecto,69,Feriados_BO_2026)))</f>
        <v>46213</v>
      </c>
      <c r="CE3" s="96">
        <f>IF(71&gt;HorizonteDias,"",IFERROR(WORKDAY(CD3,1,Feriados_BO_2026),WORKDAY(FechaInicioProyecto,70,Feriados_BO_2026)))</f>
        <v>46216</v>
      </c>
      <c r="CF3" s="96">
        <f>IF(72&gt;HorizonteDias,"",IFERROR(WORKDAY(CE3,1,Feriados_BO_2026),WORKDAY(FechaInicioProyecto,71,Feriados_BO_2026)))</f>
        <v>46217</v>
      </c>
      <c r="CG3" s="96">
        <f>IF(73&gt;HorizonteDias,"",IFERROR(WORKDAY(CF3,1,Feriados_BO_2026),WORKDAY(FechaInicioProyecto,72,Feriados_BO_2026)))</f>
        <v>46218</v>
      </c>
      <c r="CH3" s="96">
        <f>IF(74&gt;HorizonteDias,"",IFERROR(WORKDAY(CG3,1,Feriados_BO_2026),WORKDAY(FechaInicioProyecto,73,Feriados_BO_2026)))</f>
        <v>46219</v>
      </c>
      <c r="CI3" s="96">
        <f>IF(75&gt;HorizonteDias,"",IFERROR(WORKDAY(CH3,1,Feriados_BO_2026),WORKDAY(FechaInicioProyecto,74,Feriados_BO_2026)))</f>
        <v>46220</v>
      </c>
      <c r="CJ3" s="96">
        <f>IF(76&gt;HorizonteDias,"",IFERROR(WORKDAY(CI3,1,Feriados_BO_2026),WORKDAY(FechaInicioProyecto,75,Feriados_BO_2026)))</f>
        <v>46223</v>
      </c>
      <c r="CK3" s="96">
        <f>IF(77&gt;HorizonteDias,"",IFERROR(WORKDAY(CJ3,1,Feriados_BO_2026),WORKDAY(FechaInicioProyecto,76,Feriados_BO_2026)))</f>
        <v>46224</v>
      </c>
      <c r="CL3" s="96">
        <f>IF(78&gt;HorizonteDias,"",IFERROR(WORKDAY(CK3,1,Feriados_BO_2026),WORKDAY(FechaInicioProyecto,77,Feriados_BO_2026)))</f>
        <v>46225</v>
      </c>
      <c r="CM3" s="96">
        <f>IF(79&gt;HorizonteDias,"",IFERROR(WORKDAY(CL3,1,Feriados_BO_2026),WORKDAY(FechaInicioProyecto,78,Feriados_BO_2026)))</f>
        <v>46226</v>
      </c>
      <c r="CN3" s="96">
        <f>IF(80&gt;HorizonteDias,"",IFERROR(WORKDAY(CM3,1,Feriados_BO_2026),WORKDAY(FechaInicioProyecto,79,Feriados_BO_2026)))</f>
        <v>46227</v>
      </c>
      <c r="CO3" s="96">
        <f>IF(81&gt;HorizonteDias,"",IFERROR(WORKDAY(CN3,1,Feriados_BO_2026),WORKDAY(FechaInicioProyecto,80,Feriados_BO_2026)))</f>
        <v>46230</v>
      </c>
      <c r="CP3" s="96">
        <f>IF(82&gt;HorizonteDias,"",IFERROR(WORKDAY(CO3,1,Feriados_BO_2026),WORKDAY(FechaInicioProyecto,81,Feriados_BO_2026)))</f>
        <v>46231</v>
      </c>
      <c r="CQ3" s="96">
        <f>IF(83&gt;HorizonteDias,"",IFERROR(WORKDAY(CP3,1,Feriados_BO_2026),WORKDAY(FechaInicioProyecto,82,Feriados_BO_2026)))</f>
        <v>46232</v>
      </c>
      <c r="CR3" s="96">
        <f>IF(84&gt;HorizonteDias,"",IFERROR(WORKDAY(CQ3,1,Feriados_BO_2026),WORKDAY(FechaInicioProyecto,83,Feriados_BO_2026)))</f>
        <v>46233</v>
      </c>
      <c r="CS3" s="96" t="str">
        <f>IF(85&gt;HorizonteDias,"",IFERROR(WORKDAY(CR3,1,Feriados_BO_2026),WORKDAY(FechaInicioProyecto,84,Feriados_BO_2026)))</f>
        <v/>
      </c>
      <c r="CT3" s="96" t="str">
        <f>IF(86&gt;HorizonteDias,"",IFERROR(WORKDAY(CS3,1,Feriados_BO_2026),WORKDAY(FechaInicioProyecto,85,Feriados_BO_2026)))</f>
        <v/>
      </c>
      <c r="CU3" s="96" t="str">
        <f>IF(87&gt;HorizonteDias,"",IFERROR(WORKDAY(CT3,1,Feriados_BO_2026),WORKDAY(FechaInicioProyecto,86,Feriados_BO_2026)))</f>
        <v/>
      </c>
      <c r="CV3" s="96" t="str">
        <f>IF(88&gt;HorizonteDias,"",IFERROR(WORKDAY(CU3,1,Feriados_BO_2026),WORKDAY(FechaInicioProyecto,87,Feriados_BO_2026)))</f>
        <v/>
      </c>
      <c r="CW3" s="96" t="str">
        <f>IF(89&gt;HorizonteDias,"",IFERROR(WORKDAY(CV3,1,Feriados_BO_2026),WORKDAY(FechaInicioProyecto,88,Feriados_BO_2026)))</f>
        <v/>
      </c>
      <c r="CX3" s="96" t="str">
        <f>IF(90&gt;HorizonteDias,"",IFERROR(WORKDAY(CW3,1,Feriados_BO_2026),WORKDAY(FechaInicioProyecto,89,Feriados_BO_2026)))</f>
        <v/>
      </c>
      <c r="CY3" s="96" t="str">
        <f>IF(91&gt;HorizonteDias,"",IFERROR(WORKDAY(CX3,1,Feriados_BO_2026),WORKDAY(FechaInicioProyecto,90,Feriados_BO_2026)))</f>
        <v/>
      </c>
      <c r="CZ3" s="96" t="str">
        <f>IF(92&gt;HorizonteDias,"",IFERROR(WORKDAY(CY3,1,Feriados_BO_2026),WORKDAY(FechaInicioProyecto,91,Feriados_BO_2026)))</f>
        <v/>
      </c>
      <c r="DA3" s="96" t="str">
        <f>IF(93&gt;HorizonteDias,"",IFERROR(WORKDAY(CZ3,1,Feriados_BO_2026),WORKDAY(FechaInicioProyecto,92,Feriados_BO_2026)))</f>
        <v/>
      </c>
      <c r="DB3" s="96" t="str">
        <f>IF(94&gt;HorizonteDias,"",IFERROR(WORKDAY(DA3,1,Feriados_BO_2026),WORKDAY(FechaInicioProyecto,93,Feriados_BO_2026)))</f>
        <v/>
      </c>
      <c r="DC3" s="96" t="str">
        <f>IF(95&gt;HorizonteDias,"",IFERROR(WORKDAY(DB3,1,Feriados_BO_2026),WORKDAY(FechaInicioProyecto,94,Feriados_BO_2026)))</f>
        <v/>
      </c>
      <c r="DD3" s="96" t="str">
        <f>IF(96&gt;HorizonteDias,"",IFERROR(WORKDAY(DC3,1,Feriados_BO_2026),WORKDAY(FechaInicioProyecto,95,Feriados_BO_2026)))</f>
        <v/>
      </c>
      <c r="DE3" s="96" t="str">
        <f>IF(97&gt;HorizonteDias,"",IFERROR(WORKDAY(DD3,1,Feriados_BO_2026),WORKDAY(FechaInicioProyecto,96,Feriados_BO_2026)))</f>
        <v/>
      </c>
      <c r="DF3" s="96" t="str">
        <f>IF(98&gt;HorizonteDias,"",IFERROR(WORKDAY(DE3,1,Feriados_BO_2026),WORKDAY(FechaInicioProyecto,97,Feriados_BO_2026)))</f>
        <v/>
      </c>
      <c r="DG3" s="96" t="str">
        <f>IF(99&gt;HorizonteDias,"",IFERROR(WORKDAY(DF3,1,Feriados_BO_2026),WORKDAY(FechaInicioProyecto,98,Feriados_BO_2026)))</f>
        <v/>
      </c>
      <c r="DH3" s="96" t="str">
        <f>IF(100&gt;HorizonteDias,"",IFERROR(WORKDAY(DG3,1,Feriados_BO_2026),WORKDAY(FechaInicioProyecto,99,Feriados_BO_2026)))</f>
        <v/>
      </c>
      <c r="DI3" s="96" t="str">
        <f>IF(101&gt;HorizonteDias,"",IFERROR(WORKDAY(DH3,1,Feriados_BO_2026),WORKDAY(FechaInicioProyecto,100,Feriados_BO_2026)))</f>
        <v/>
      </c>
      <c r="DJ3" s="96" t="str">
        <f>IF(102&gt;HorizonteDias,"",IFERROR(WORKDAY(DI3,1,Feriados_BO_2026),WORKDAY(FechaInicioProyecto,101,Feriados_BO_2026)))</f>
        <v/>
      </c>
      <c r="DK3" s="96" t="str">
        <f>IF(103&gt;HorizonteDias,"",IFERROR(WORKDAY(DJ3,1,Feriados_BO_2026),WORKDAY(FechaInicioProyecto,102,Feriados_BO_2026)))</f>
        <v/>
      </c>
      <c r="DL3" s="96" t="str">
        <f>IF(104&gt;HorizonteDias,"",IFERROR(WORKDAY(DK3,1,Feriados_BO_2026),WORKDAY(FechaInicioProyecto,103,Feriados_BO_2026)))</f>
        <v/>
      </c>
      <c r="DM3" s="96" t="str">
        <f>IF(105&gt;HorizonteDias,"",IFERROR(WORKDAY(DL3,1,Feriados_BO_2026),WORKDAY(FechaInicioProyecto,104,Feriados_BO_2026)))</f>
        <v/>
      </c>
      <c r="DN3" s="96" t="str">
        <f>IF(106&gt;HorizonteDias,"",IFERROR(WORKDAY(DM3,1,Feriados_BO_2026),WORKDAY(FechaInicioProyecto,105,Feriados_BO_2026)))</f>
        <v/>
      </c>
      <c r="DO3" s="96" t="str">
        <f>IF(107&gt;HorizonteDias,"",IFERROR(WORKDAY(DN3,1,Feriados_BO_2026),WORKDAY(FechaInicioProyecto,106,Feriados_BO_2026)))</f>
        <v/>
      </c>
      <c r="DP3" s="96" t="str">
        <f>IF(108&gt;HorizonteDias,"",IFERROR(WORKDAY(DO3,1,Feriados_BO_2026),WORKDAY(FechaInicioProyecto,107,Feriados_BO_2026)))</f>
        <v/>
      </c>
      <c r="DQ3" s="96" t="str">
        <f>IF(109&gt;HorizonteDias,"",IFERROR(WORKDAY(DP3,1,Feriados_BO_2026),WORKDAY(FechaInicioProyecto,108,Feriados_BO_2026)))</f>
        <v/>
      </c>
      <c r="DR3" s="96" t="str">
        <f>IF(110&gt;HorizonteDias,"",IFERROR(WORKDAY(DQ3,1,Feriados_BO_2026),WORKDAY(FechaInicioProyecto,109,Feriados_BO_2026)))</f>
        <v/>
      </c>
      <c r="DS3" s="96" t="str">
        <f>IF(111&gt;HorizonteDias,"",IFERROR(WORKDAY(DR3,1,Feriados_BO_2026),WORKDAY(FechaInicioProyecto,110,Feriados_BO_2026)))</f>
        <v/>
      </c>
      <c r="DT3" s="96" t="str">
        <f>IF(112&gt;HorizonteDias,"",IFERROR(WORKDAY(DS3,1,Feriados_BO_2026),WORKDAY(FechaInicioProyecto,111,Feriados_BO_2026)))</f>
        <v/>
      </c>
      <c r="DU3" s="96" t="str">
        <f>IF(113&gt;HorizonteDias,"",IFERROR(WORKDAY(DT3,1,Feriados_BO_2026),WORKDAY(FechaInicioProyecto,112,Feriados_BO_2026)))</f>
        <v/>
      </c>
      <c r="DV3" s="96" t="str">
        <f>IF(114&gt;HorizonteDias,"",IFERROR(WORKDAY(DU3,1,Feriados_BO_2026),WORKDAY(FechaInicioProyecto,113,Feriados_BO_2026)))</f>
        <v/>
      </c>
      <c r="DW3" s="96" t="str">
        <f>IF(115&gt;HorizonteDias,"",IFERROR(WORKDAY(DV3,1,Feriados_BO_2026),WORKDAY(FechaInicioProyecto,114,Feriados_BO_2026)))</f>
        <v/>
      </c>
      <c r="DX3" s="96" t="str">
        <f>IF(116&gt;HorizonteDias,"",IFERROR(WORKDAY(DW3,1,Feriados_BO_2026),WORKDAY(FechaInicioProyecto,115,Feriados_BO_2026)))</f>
        <v/>
      </c>
      <c r="DY3" s="96" t="str">
        <f>IF(117&gt;HorizonteDias,"",IFERROR(WORKDAY(DX3,1,Feriados_BO_2026),WORKDAY(FechaInicioProyecto,116,Feriados_BO_2026)))</f>
        <v/>
      </c>
      <c r="DZ3" s="96" t="str">
        <f>IF(118&gt;HorizonteDias,"",IFERROR(WORKDAY(DY3,1,Feriados_BO_2026),WORKDAY(FechaInicioProyecto,117,Feriados_BO_2026)))</f>
        <v/>
      </c>
      <c r="EA3" s="96" t="str">
        <f>IF(119&gt;HorizonteDias,"",IFERROR(WORKDAY(DZ3,1,Feriados_BO_2026),WORKDAY(FechaInicioProyecto,118,Feriados_BO_2026)))</f>
        <v/>
      </c>
      <c r="EB3" s="96" t="str">
        <f>IF(120&gt;HorizonteDias,"",IFERROR(WORKDAY(EA3,1,Feriados_BO_2026),WORKDAY(FechaInicioProyecto,119,Feriados_BO_2026)))</f>
        <v/>
      </c>
      <c r="EC3" s="96" t="str">
        <f>IF(121&gt;HorizonteDias,"",IFERROR(WORKDAY(EB3,1,Feriados_BO_2026),WORKDAY(FechaInicioProyecto,120,Feriados_BO_2026)))</f>
        <v/>
      </c>
      <c r="ED3" s="96" t="str">
        <f>IF(122&gt;HorizonteDias,"",IFERROR(WORKDAY(EC3,1,Feriados_BO_2026),WORKDAY(FechaInicioProyecto,121,Feriados_BO_2026)))</f>
        <v/>
      </c>
      <c r="EE3" s="96" t="str">
        <f>IF(123&gt;HorizonteDias,"",IFERROR(WORKDAY(ED3,1,Feriados_BO_2026),WORKDAY(FechaInicioProyecto,122,Feriados_BO_2026)))</f>
        <v/>
      </c>
      <c r="EF3" s="96" t="str">
        <f>IF(124&gt;HorizonteDias,"",IFERROR(WORKDAY(EE3,1,Feriados_BO_2026),WORKDAY(FechaInicioProyecto,123,Feriados_BO_2026)))</f>
        <v/>
      </c>
      <c r="EG3" s="96" t="str">
        <f>IF(125&gt;HorizonteDias,"",IFERROR(WORKDAY(EF3,1,Feriados_BO_2026),WORKDAY(FechaInicioProyecto,124,Feriados_BO_2026)))</f>
        <v/>
      </c>
      <c r="EH3" s="96" t="str">
        <f>IF(126&gt;HorizonteDias,"",IFERROR(WORKDAY(EG3,1,Feriados_BO_2026),WORKDAY(FechaInicioProyecto,125,Feriados_BO_2026)))</f>
        <v/>
      </c>
      <c r="EI3" s="96" t="str">
        <f>IF(127&gt;HorizonteDias,"",IFERROR(WORKDAY(EH3,1,Feriados_BO_2026),WORKDAY(FechaInicioProyecto,126,Feriados_BO_2026)))</f>
        <v/>
      </c>
      <c r="EJ3" s="96" t="str">
        <f>IF(128&gt;HorizonteDias,"",IFERROR(WORKDAY(EI3,1,Feriados_BO_2026),WORKDAY(FechaInicioProyecto,127,Feriados_BO_2026)))</f>
        <v/>
      </c>
      <c r="EK3" s="96" t="str">
        <f>IF(129&gt;HorizonteDias,"",IFERROR(WORKDAY(EJ3,1,Feriados_BO_2026),WORKDAY(FechaInicioProyecto,128,Feriados_BO_2026)))</f>
        <v/>
      </c>
      <c r="EL3" s="96" t="str">
        <f>IF(130&gt;HorizonteDias,"",IFERROR(WORKDAY(EK3,1,Feriados_BO_2026),WORKDAY(FechaInicioProyecto,129,Feriados_BO_2026)))</f>
        <v/>
      </c>
      <c r="EM3" s="96" t="str">
        <f>IF(131&gt;HorizonteDias,"",IFERROR(WORKDAY(EL3,1,Feriados_BO_2026),WORKDAY(FechaInicioProyecto,130,Feriados_BO_2026)))</f>
        <v/>
      </c>
      <c r="EN3" s="96" t="str">
        <f>IF(132&gt;HorizonteDias,"",IFERROR(WORKDAY(EM3,1,Feriados_BO_2026),WORKDAY(FechaInicioProyecto,131,Feriados_BO_2026)))</f>
        <v/>
      </c>
      <c r="EO3" s="96" t="str">
        <f>IF(133&gt;HorizonteDias,"",IFERROR(WORKDAY(EN3,1,Feriados_BO_2026),WORKDAY(FechaInicioProyecto,132,Feriados_BO_2026)))</f>
        <v/>
      </c>
      <c r="EP3" s="96" t="str">
        <f>IF(134&gt;HorizonteDias,"",IFERROR(WORKDAY(EO3,1,Feriados_BO_2026),WORKDAY(FechaInicioProyecto,133,Feriados_BO_2026)))</f>
        <v/>
      </c>
      <c r="EQ3" s="96" t="str">
        <f>IF(135&gt;HorizonteDias,"",IFERROR(WORKDAY(EP3,1,Feriados_BO_2026),WORKDAY(FechaInicioProyecto,134,Feriados_BO_2026)))</f>
        <v/>
      </c>
      <c r="ER3" s="96" t="str">
        <f>IF(136&gt;HorizonteDias,"",IFERROR(WORKDAY(EQ3,1,Feriados_BO_2026),WORKDAY(FechaInicioProyecto,135,Feriados_BO_2026)))</f>
        <v/>
      </c>
      <c r="ES3" s="96" t="str">
        <f>IF(137&gt;HorizonteDias,"",IFERROR(WORKDAY(ER3,1,Feriados_BO_2026),WORKDAY(FechaInicioProyecto,136,Feriados_BO_2026)))</f>
        <v/>
      </c>
      <c r="ET3" s="96" t="str">
        <f>IF(138&gt;HorizonteDias,"",IFERROR(WORKDAY(ES3,1,Feriados_BO_2026),WORKDAY(FechaInicioProyecto,137,Feriados_BO_2026)))</f>
        <v/>
      </c>
      <c r="EU3" s="96" t="str">
        <f>IF(139&gt;HorizonteDias,"",IFERROR(WORKDAY(ET3,1,Feriados_BO_2026),WORKDAY(FechaInicioProyecto,138,Feriados_BO_2026)))</f>
        <v/>
      </c>
      <c r="EV3" s="96" t="str">
        <f>IF(140&gt;HorizonteDias,"",IFERROR(WORKDAY(EU3,1,Feriados_BO_2026),WORKDAY(FechaInicioProyecto,139,Feriados_BO_2026)))</f>
        <v/>
      </c>
      <c r="EW3" s="96" t="str">
        <f>IF(141&gt;HorizonteDias,"",IFERROR(WORKDAY(EV3,1,Feriados_BO_2026),WORKDAY(FechaInicioProyecto,140,Feriados_BO_2026)))</f>
        <v/>
      </c>
      <c r="EX3" s="96" t="str">
        <f>IF(142&gt;HorizonteDias,"",IFERROR(WORKDAY(EW3,1,Feriados_BO_2026),WORKDAY(FechaInicioProyecto,141,Feriados_BO_2026)))</f>
        <v/>
      </c>
      <c r="EY3" s="96" t="str">
        <f>IF(143&gt;HorizonteDias,"",IFERROR(WORKDAY(EX3,1,Feriados_BO_2026),WORKDAY(FechaInicioProyecto,142,Feriados_BO_2026)))</f>
        <v/>
      </c>
      <c r="EZ3" s="96" t="str">
        <f>IF(144&gt;HorizonteDias,"",IFERROR(WORKDAY(EY3,1,Feriados_BO_2026),WORKDAY(FechaInicioProyecto,143,Feriados_BO_2026)))</f>
        <v/>
      </c>
      <c r="FA3" s="96" t="str">
        <f>IF(145&gt;HorizonteDias,"",IFERROR(WORKDAY(EZ3,1,Feriados_BO_2026),WORKDAY(FechaInicioProyecto,144,Feriados_BO_2026)))</f>
        <v/>
      </c>
      <c r="FB3" s="96" t="str">
        <f>IF(146&gt;HorizonteDias,"",IFERROR(WORKDAY(FA3,1,Feriados_BO_2026),WORKDAY(FechaInicioProyecto,145,Feriados_BO_2026)))</f>
        <v/>
      </c>
      <c r="FC3" s="96" t="str">
        <f>IF(147&gt;HorizonteDias,"",IFERROR(WORKDAY(FB3,1,Feriados_BO_2026),WORKDAY(FechaInicioProyecto,146,Feriados_BO_2026)))</f>
        <v/>
      </c>
      <c r="FD3" s="96" t="str">
        <f>IF(148&gt;HorizonteDias,"",IFERROR(WORKDAY(FC3,1,Feriados_BO_2026),WORKDAY(FechaInicioProyecto,147,Feriados_BO_2026)))</f>
        <v/>
      </c>
      <c r="FE3" s="96" t="str">
        <f>IF(149&gt;HorizonteDias,"",IFERROR(WORKDAY(FD3,1,Feriados_BO_2026),WORKDAY(FechaInicioProyecto,148,Feriados_BO_2026)))</f>
        <v/>
      </c>
      <c r="FF3" s="96" t="str">
        <f>IF(150&gt;HorizonteDias,"",IFERROR(WORKDAY(FE3,1,Feriados_BO_2026),WORKDAY(FechaInicioProyecto,149,Feriados_BO_2026)))</f>
        <v/>
      </c>
      <c r="FG3" s="96" t="str">
        <f>IF(151&gt;HorizonteDias,"",IFERROR(WORKDAY(FF3,1,Feriados_BO_2026),WORKDAY(FechaInicioProyecto,150,Feriados_BO_2026)))</f>
        <v/>
      </c>
      <c r="FH3" s="96" t="str">
        <f>IF(152&gt;HorizonteDias,"",IFERROR(WORKDAY(FG3,1,Feriados_BO_2026),WORKDAY(FechaInicioProyecto,151,Feriados_BO_2026)))</f>
        <v/>
      </c>
      <c r="FI3" s="96" t="str">
        <f>IF(153&gt;HorizonteDias,"",IFERROR(WORKDAY(FH3,1,Feriados_BO_2026),WORKDAY(FechaInicioProyecto,152,Feriados_BO_2026)))</f>
        <v/>
      </c>
      <c r="FJ3" s="96" t="str">
        <f>IF(154&gt;HorizonteDias,"",IFERROR(WORKDAY(FI3,1,Feriados_BO_2026),WORKDAY(FechaInicioProyecto,153,Feriados_BO_2026)))</f>
        <v/>
      </c>
      <c r="FK3" s="96" t="str">
        <f>IF(155&gt;HorizonteDias,"",IFERROR(WORKDAY(FJ3,1,Feriados_BO_2026),WORKDAY(FechaInicioProyecto,154,Feriados_BO_2026)))</f>
        <v/>
      </c>
      <c r="FL3" s="96" t="str">
        <f>IF(156&gt;HorizonteDias,"",IFERROR(WORKDAY(FK3,1,Feriados_BO_2026),WORKDAY(FechaInicioProyecto,155,Feriados_BO_2026)))</f>
        <v/>
      </c>
      <c r="FM3" s="96" t="str">
        <f>IF(157&gt;HorizonteDias,"",IFERROR(WORKDAY(FL3,1,Feriados_BO_2026),WORKDAY(FechaInicioProyecto,156,Feriados_BO_2026)))</f>
        <v/>
      </c>
      <c r="FN3" s="96" t="str">
        <f>IF(158&gt;HorizonteDias,"",IFERROR(WORKDAY(FM3,1,Feriados_BO_2026),WORKDAY(FechaInicioProyecto,157,Feriados_BO_2026)))</f>
        <v/>
      </c>
      <c r="FO3" s="96" t="str">
        <f>IF(159&gt;HorizonteDias,"",IFERROR(WORKDAY(FN3,1,Feriados_BO_2026),WORKDAY(FechaInicioProyecto,158,Feriados_BO_2026)))</f>
        <v/>
      </c>
      <c r="FP3" s="96" t="str">
        <f>IF(160&gt;HorizonteDias,"",IFERROR(WORKDAY(FO3,1,Feriados_BO_2026),WORKDAY(FechaInicioProyecto,159,Feriados_BO_2026)))</f>
        <v/>
      </c>
      <c r="FQ3" s="96" t="str">
        <f>IF(161&gt;HorizonteDias,"",IFERROR(WORKDAY(FP3,1,Feriados_BO_2026),WORKDAY(FechaInicioProyecto,160,Feriados_BO_2026)))</f>
        <v/>
      </c>
      <c r="FR3" s="96" t="str">
        <f>IF(162&gt;HorizonteDias,"",IFERROR(WORKDAY(FQ3,1,Feriados_BO_2026),WORKDAY(FechaInicioProyecto,161,Feriados_BO_2026)))</f>
        <v/>
      </c>
      <c r="FS3" s="96" t="str">
        <f>IF(163&gt;HorizonteDias,"",IFERROR(WORKDAY(FR3,1,Feriados_BO_2026),WORKDAY(FechaInicioProyecto,162,Feriados_BO_2026)))</f>
        <v/>
      </c>
      <c r="FT3" s="96" t="str">
        <f>IF(164&gt;HorizonteDias,"",IFERROR(WORKDAY(FS3,1,Feriados_BO_2026),WORKDAY(FechaInicioProyecto,163,Feriados_BO_2026)))</f>
        <v/>
      </c>
      <c r="FU3" s="96" t="str">
        <f>IF(165&gt;HorizonteDias,"",IFERROR(WORKDAY(FT3,1,Feriados_BO_2026),WORKDAY(FechaInicioProyecto,164,Feriados_BO_2026)))</f>
        <v/>
      </c>
      <c r="FV3" s="96" t="str">
        <f>IF(166&gt;HorizonteDias,"",IFERROR(WORKDAY(FU3,1,Feriados_BO_2026),WORKDAY(FechaInicioProyecto,165,Feriados_BO_2026)))</f>
        <v/>
      </c>
      <c r="FW3" s="96" t="str">
        <f>IF(167&gt;HorizonteDias,"",IFERROR(WORKDAY(FV3,1,Feriados_BO_2026),WORKDAY(FechaInicioProyecto,166,Feriados_BO_2026)))</f>
        <v/>
      </c>
      <c r="FX3" s="96" t="str">
        <f>IF(168&gt;HorizonteDias,"",IFERROR(WORKDAY(FW3,1,Feriados_BO_2026),WORKDAY(FechaInicioProyecto,167,Feriados_BO_2026)))</f>
        <v/>
      </c>
      <c r="FY3" s="96" t="str">
        <f>IF(169&gt;HorizonteDias,"",IFERROR(WORKDAY(FX3,1,Feriados_BO_2026),WORKDAY(FechaInicioProyecto,168,Feriados_BO_2026)))</f>
        <v/>
      </c>
      <c r="FZ3" s="96" t="str">
        <f>IF(170&gt;HorizonteDias,"",IFERROR(WORKDAY(FY3,1,Feriados_BO_2026),WORKDAY(FechaInicioProyecto,169,Feriados_BO_2026)))</f>
        <v/>
      </c>
      <c r="GA3" s="96" t="str">
        <f>IF(171&gt;HorizonteDias,"",IFERROR(WORKDAY(FZ3,1,Feriados_BO_2026),WORKDAY(FechaInicioProyecto,170,Feriados_BO_2026)))</f>
        <v/>
      </c>
      <c r="GB3" s="96" t="str">
        <f>IF(172&gt;HorizonteDias,"",IFERROR(WORKDAY(GA3,1,Feriados_BO_2026),WORKDAY(FechaInicioProyecto,171,Feriados_BO_2026)))</f>
        <v/>
      </c>
      <c r="GC3" s="96" t="str">
        <f>IF(173&gt;HorizonteDias,"",IFERROR(WORKDAY(GB3,1,Feriados_BO_2026),WORKDAY(FechaInicioProyecto,172,Feriados_BO_2026)))</f>
        <v/>
      </c>
      <c r="GD3" s="96" t="str">
        <f>IF(174&gt;HorizonteDias,"",IFERROR(WORKDAY(GC3,1,Feriados_BO_2026),WORKDAY(FechaInicioProyecto,173,Feriados_BO_2026)))</f>
        <v/>
      </c>
      <c r="GE3" s="96" t="str">
        <f>IF(175&gt;HorizonteDias,"",IFERROR(WORKDAY(GD3,1,Feriados_BO_2026),WORKDAY(FechaInicioProyecto,174,Feriados_BO_2026)))</f>
        <v/>
      </c>
      <c r="GF3" s="96" t="str">
        <f>IF(176&gt;HorizonteDias,"",IFERROR(WORKDAY(GE3,1,Feriados_BO_2026),WORKDAY(FechaInicioProyecto,175,Feriados_BO_2026)))</f>
        <v/>
      </c>
      <c r="GG3" s="96" t="str">
        <f>IF(177&gt;HorizonteDias,"",IFERROR(WORKDAY(GF3,1,Feriados_BO_2026),WORKDAY(FechaInicioProyecto,176,Feriados_BO_2026)))</f>
        <v/>
      </c>
      <c r="GH3" s="96" t="str">
        <f>IF(178&gt;HorizonteDias,"",IFERROR(WORKDAY(GG3,1,Feriados_BO_2026),WORKDAY(FechaInicioProyecto,177,Feriados_BO_2026)))</f>
        <v/>
      </c>
      <c r="GI3" s="96" t="str">
        <f>IF(179&gt;HorizonteDias,"",IFERROR(WORKDAY(GH3,1,Feriados_BO_2026),WORKDAY(FechaInicioProyecto,178,Feriados_BO_2026)))</f>
        <v/>
      </c>
      <c r="GJ3" s="96" t="str">
        <f>IF(180&gt;HorizonteDias,"",IFERROR(WORKDAY(GI3,1,Feriados_BO_2026),WORKDAY(FechaInicioProyecto,179,Feriados_BO_2026)))</f>
        <v/>
      </c>
      <c r="GK3" s="96" t="str">
        <f>IF(181&gt;HorizonteDias,"",IFERROR(WORKDAY(GJ3,1,Feriados_BO_2026),WORKDAY(FechaInicioProyecto,180,Feriados_BO_2026)))</f>
        <v/>
      </c>
      <c r="GL3" s="96" t="str">
        <f>IF(182&gt;HorizonteDias,"",IFERROR(WORKDAY(GK3,1,Feriados_BO_2026),WORKDAY(FechaInicioProyecto,181,Feriados_BO_2026)))</f>
        <v/>
      </c>
      <c r="GM3" s="96" t="str">
        <f>IF(183&gt;HorizonteDias,"",IFERROR(WORKDAY(GL3,1,Feriados_BO_2026),WORKDAY(FechaInicioProyecto,182,Feriados_BO_2026)))</f>
        <v/>
      </c>
      <c r="GN3" s="96" t="str">
        <f>IF(184&gt;HorizonteDias,"",IFERROR(WORKDAY(GM3,1,Feriados_BO_2026),WORKDAY(FechaInicioProyecto,183,Feriados_BO_2026)))</f>
        <v/>
      </c>
      <c r="GO3" s="96" t="str">
        <f>IF(185&gt;HorizonteDias,"",IFERROR(WORKDAY(GN3,1,Feriados_BO_2026),WORKDAY(FechaInicioProyecto,184,Feriados_BO_2026)))</f>
        <v/>
      </c>
      <c r="GP3" s="96" t="str">
        <f>IF(186&gt;HorizonteDias,"",IFERROR(WORKDAY(GO3,1,Feriados_BO_2026),WORKDAY(FechaInicioProyecto,185,Feriados_BO_2026)))</f>
        <v/>
      </c>
      <c r="GQ3" s="96" t="str">
        <f>IF(187&gt;HorizonteDias,"",IFERROR(WORKDAY(GP3,1,Feriados_BO_2026),WORKDAY(FechaInicioProyecto,186,Feriados_BO_2026)))</f>
        <v/>
      </c>
      <c r="GR3" s="96" t="str">
        <f>IF(188&gt;HorizonteDias,"",IFERROR(WORKDAY(GQ3,1,Feriados_BO_2026),WORKDAY(FechaInicioProyecto,187,Feriados_BO_2026)))</f>
        <v/>
      </c>
      <c r="GS3" s="96" t="str">
        <f>IF(189&gt;HorizonteDias,"",IFERROR(WORKDAY(GR3,1,Feriados_BO_2026),WORKDAY(FechaInicioProyecto,188,Feriados_BO_2026)))</f>
        <v/>
      </c>
      <c r="GT3" s="96" t="str">
        <f>IF(190&gt;HorizonteDias,"",IFERROR(WORKDAY(GS3,1,Feriados_BO_2026),WORKDAY(FechaInicioProyecto,189,Feriados_BO_2026)))</f>
        <v/>
      </c>
      <c r="GU3" s="96" t="str">
        <f>IF(191&gt;HorizonteDias,"",IFERROR(WORKDAY(GT3,1,Feriados_BO_2026),WORKDAY(FechaInicioProyecto,190,Feriados_BO_2026)))</f>
        <v/>
      </c>
      <c r="GV3" s="96" t="str">
        <f>IF(192&gt;HorizonteDias,"",IFERROR(WORKDAY(GU3,1,Feriados_BO_2026),WORKDAY(FechaInicioProyecto,191,Feriados_BO_2026)))</f>
        <v/>
      </c>
      <c r="GW3" s="96" t="str">
        <f>IF(193&gt;HorizonteDias,"",IFERROR(WORKDAY(GV3,1,Feriados_BO_2026),WORKDAY(FechaInicioProyecto,192,Feriados_BO_2026)))</f>
        <v/>
      </c>
      <c r="GX3" s="96" t="str">
        <f>IF(194&gt;HorizonteDias,"",IFERROR(WORKDAY(GW3,1,Feriados_BO_2026),WORKDAY(FechaInicioProyecto,193,Feriados_BO_2026)))</f>
        <v/>
      </c>
      <c r="GY3" s="96" t="str">
        <f>IF(195&gt;HorizonteDias,"",IFERROR(WORKDAY(GX3,1,Feriados_BO_2026),WORKDAY(FechaInicioProyecto,194,Feriados_BO_2026)))</f>
        <v/>
      </c>
      <c r="GZ3" s="96" t="str">
        <f>IF(196&gt;HorizonteDias,"",IFERROR(WORKDAY(GY3,1,Feriados_BO_2026),WORKDAY(FechaInicioProyecto,195,Feriados_BO_2026)))</f>
        <v/>
      </c>
      <c r="HA3" s="96" t="str">
        <f>IF(197&gt;HorizonteDias,"",IFERROR(WORKDAY(GZ3,1,Feriados_BO_2026),WORKDAY(FechaInicioProyecto,196,Feriados_BO_2026)))</f>
        <v/>
      </c>
      <c r="HB3" s="96" t="str">
        <f>IF(198&gt;HorizonteDias,"",IFERROR(WORKDAY(HA3,1,Feriados_BO_2026),WORKDAY(FechaInicioProyecto,197,Feriados_BO_2026)))</f>
        <v/>
      </c>
      <c r="HC3" s="96" t="str">
        <f>IF(199&gt;HorizonteDias,"",IFERROR(WORKDAY(HB3,1,Feriados_BO_2026),WORKDAY(FechaInicioProyecto,198,Feriados_BO_2026)))</f>
        <v/>
      </c>
      <c r="HD3" s="96" t="str">
        <f>IF(200&gt;HorizonteDias,"",IFERROR(WORKDAY(HC3,1,Feriados_BO_2026),WORKDAY(FechaInicioProyecto,199,Feriados_BO_2026)))</f>
        <v/>
      </c>
      <c r="HE3" s="96" t="str">
        <f>IF(201&gt;HorizonteDias,"",IFERROR(WORKDAY(HD3,1,Feriados_BO_2026),WORKDAY(FechaInicioProyecto,200,Feriados_BO_2026)))</f>
        <v/>
      </c>
      <c r="HF3" s="96" t="str">
        <f>IF(202&gt;HorizonteDias,"",IFERROR(WORKDAY(HE3,1,Feriados_BO_2026),WORKDAY(FechaInicioProyecto,201,Feriados_BO_2026)))</f>
        <v/>
      </c>
      <c r="HG3" s="96" t="str">
        <f>IF(203&gt;HorizonteDias,"",IFERROR(WORKDAY(HF3,1,Feriados_BO_2026),WORKDAY(FechaInicioProyecto,202,Feriados_BO_2026)))</f>
        <v/>
      </c>
      <c r="HH3" s="96" t="str">
        <f>IF(204&gt;HorizonteDias,"",IFERROR(WORKDAY(HG3,1,Feriados_BO_2026),WORKDAY(FechaInicioProyecto,203,Feriados_BO_2026)))</f>
        <v/>
      </c>
      <c r="HI3" s="96" t="str">
        <f>IF(205&gt;HorizonteDias,"",IFERROR(WORKDAY(HH3,1,Feriados_BO_2026),WORKDAY(FechaInicioProyecto,204,Feriados_BO_2026)))</f>
        <v/>
      </c>
      <c r="HJ3" s="96" t="str">
        <f>IF(206&gt;HorizonteDias,"",IFERROR(WORKDAY(HI3,1,Feriados_BO_2026),WORKDAY(FechaInicioProyecto,205,Feriados_BO_2026)))</f>
        <v/>
      </c>
      <c r="HK3" s="96" t="str">
        <f>IF(207&gt;HorizonteDias,"",IFERROR(WORKDAY(HJ3,1,Feriados_BO_2026),WORKDAY(FechaInicioProyecto,206,Feriados_BO_2026)))</f>
        <v/>
      </c>
      <c r="HL3" s="96" t="str">
        <f>IF(208&gt;HorizonteDias,"",IFERROR(WORKDAY(HK3,1,Feriados_BO_2026),WORKDAY(FechaInicioProyecto,207,Feriados_BO_2026)))</f>
        <v/>
      </c>
      <c r="HM3" s="96" t="str">
        <f>IF(209&gt;HorizonteDias,"",IFERROR(WORKDAY(HL3,1,Feriados_BO_2026),WORKDAY(FechaInicioProyecto,208,Feriados_BO_2026)))</f>
        <v/>
      </c>
      <c r="HN3" s="96" t="str">
        <f>IF(210&gt;HorizonteDias,"",IFERROR(WORKDAY(HM3,1,Feriados_BO_2026),WORKDAY(FechaInicioProyecto,209,Feriados_BO_2026)))</f>
        <v/>
      </c>
      <c r="HO3" s="96" t="str">
        <f>IF(211&gt;HorizonteDias,"",IFERROR(WORKDAY(HN3,1,Feriados_BO_2026),WORKDAY(FechaInicioProyecto,210,Feriados_BO_2026)))</f>
        <v/>
      </c>
      <c r="HP3" s="96" t="str">
        <f>IF(212&gt;HorizonteDias,"",IFERROR(WORKDAY(HO3,1,Feriados_BO_2026),WORKDAY(FechaInicioProyecto,211,Feriados_BO_2026)))</f>
        <v/>
      </c>
      <c r="HQ3" s="96" t="str">
        <f>IF(213&gt;HorizonteDias,"",IFERROR(WORKDAY(HP3,1,Feriados_BO_2026),WORKDAY(FechaInicioProyecto,212,Feriados_BO_2026)))</f>
        <v/>
      </c>
      <c r="HR3" s="96" t="str">
        <f>IF(214&gt;HorizonteDias,"",IFERROR(WORKDAY(HQ3,1,Feriados_BO_2026),WORKDAY(FechaInicioProyecto,213,Feriados_BO_2026)))</f>
        <v/>
      </c>
      <c r="HS3" s="96" t="str">
        <f>IF(215&gt;HorizonteDias,"",IFERROR(WORKDAY(HR3,1,Feriados_BO_2026),WORKDAY(FechaInicioProyecto,214,Feriados_BO_2026)))</f>
        <v/>
      </c>
      <c r="HT3" s="96" t="str">
        <f>IF(216&gt;HorizonteDias,"",IFERROR(WORKDAY(HS3,1,Feriados_BO_2026),WORKDAY(FechaInicioProyecto,215,Feriados_BO_2026)))</f>
        <v/>
      </c>
      <c r="HU3" s="96" t="str">
        <f>IF(217&gt;HorizonteDias,"",IFERROR(WORKDAY(HT3,1,Feriados_BO_2026),WORKDAY(FechaInicioProyecto,216,Feriados_BO_2026)))</f>
        <v/>
      </c>
      <c r="HV3" s="96" t="str">
        <f>IF(218&gt;HorizonteDias,"",IFERROR(WORKDAY(HU3,1,Feriados_BO_2026),WORKDAY(FechaInicioProyecto,217,Feriados_BO_2026)))</f>
        <v/>
      </c>
      <c r="HW3" s="96" t="str">
        <f>IF(219&gt;HorizonteDias,"",IFERROR(WORKDAY(HV3,1,Feriados_BO_2026),WORKDAY(FechaInicioProyecto,218,Feriados_BO_2026)))</f>
        <v/>
      </c>
      <c r="HX3" s="96" t="str">
        <f>IF(220&gt;HorizonteDias,"",IFERROR(WORKDAY(HW3,1,Feriados_BO_2026),WORKDAY(FechaInicioProyecto,219,Feriados_BO_2026)))</f>
        <v/>
      </c>
      <c r="HY3" s="96" t="str">
        <f>IF(221&gt;HorizonteDias,"",IFERROR(WORKDAY(HX3,1,Feriados_BO_2026),WORKDAY(FechaInicioProyecto,220,Feriados_BO_2026)))</f>
        <v/>
      </c>
      <c r="HZ3" s="96" t="str">
        <f>IF(222&gt;HorizonteDias,"",IFERROR(WORKDAY(HY3,1,Feriados_BO_2026),WORKDAY(FechaInicioProyecto,221,Feriados_BO_2026)))</f>
        <v/>
      </c>
      <c r="IA3" s="96" t="str">
        <f>IF(223&gt;HorizonteDias,"",IFERROR(WORKDAY(HZ3,1,Feriados_BO_2026),WORKDAY(FechaInicioProyecto,222,Feriados_BO_2026)))</f>
        <v/>
      </c>
      <c r="IB3" s="96" t="str">
        <f>IF(224&gt;HorizonteDias,"",IFERROR(WORKDAY(IA3,1,Feriados_BO_2026),WORKDAY(FechaInicioProyecto,223,Feriados_BO_2026)))</f>
        <v/>
      </c>
      <c r="IC3" s="96" t="str">
        <f>IF(225&gt;HorizonteDias,"",IFERROR(WORKDAY(IB3,1,Feriados_BO_2026),WORKDAY(FechaInicioProyecto,224,Feriados_BO_2026)))</f>
        <v/>
      </c>
      <c r="ID3" s="96" t="str">
        <f>IF(226&gt;HorizonteDias,"",IFERROR(WORKDAY(IC3,1,Feriados_BO_2026),WORKDAY(FechaInicioProyecto,225,Feriados_BO_2026)))</f>
        <v/>
      </c>
      <c r="IE3" s="96" t="str">
        <f>IF(227&gt;HorizonteDias,"",IFERROR(WORKDAY(ID3,1,Feriados_BO_2026),WORKDAY(FechaInicioProyecto,226,Feriados_BO_2026)))</f>
        <v/>
      </c>
      <c r="IF3" s="96" t="str">
        <f>IF(228&gt;HorizonteDias,"",IFERROR(WORKDAY(IE3,1,Feriados_BO_2026),WORKDAY(FechaInicioProyecto,227,Feriados_BO_2026)))</f>
        <v/>
      </c>
      <c r="IG3" s="96" t="str">
        <f>IF(229&gt;HorizonteDias,"",IFERROR(WORKDAY(IF3,1,Feriados_BO_2026),WORKDAY(FechaInicioProyecto,228,Feriados_BO_2026)))</f>
        <v/>
      </c>
      <c r="IH3" s="96" t="str">
        <f>IF(230&gt;HorizonteDias,"",IFERROR(WORKDAY(IG3,1,Feriados_BO_2026),WORKDAY(FechaInicioProyecto,229,Feriados_BO_2026)))</f>
        <v/>
      </c>
      <c r="II3" s="96" t="str">
        <f>IF(231&gt;HorizonteDias,"",IFERROR(WORKDAY(IH3,1,Feriados_BO_2026),WORKDAY(FechaInicioProyecto,230,Feriados_BO_2026)))</f>
        <v/>
      </c>
      <c r="IJ3" s="96" t="str">
        <f>IF(232&gt;HorizonteDias,"",IFERROR(WORKDAY(II3,1,Feriados_BO_2026),WORKDAY(FechaInicioProyecto,231,Feriados_BO_2026)))</f>
        <v/>
      </c>
      <c r="IK3" s="96" t="str">
        <f>IF(233&gt;HorizonteDias,"",IFERROR(WORKDAY(IJ3,1,Feriados_BO_2026),WORKDAY(FechaInicioProyecto,232,Feriados_BO_2026)))</f>
        <v/>
      </c>
      <c r="IL3" s="96" t="str">
        <f>IF(234&gt;HorizonteDias,"",IFERROR(WORKDAY(IK3,1,Feriados_BO_2026),WORKDAY(FechaInicioProyecto,233,Feriados_BO_2026)))</f>
        <v/>
      </c>
      <c r="IM3" s="96" t="str">
        <f>IF(235&gt;HorizonteDias,"",IFERROR(WORKDAY(IL3,1,Feriados_BO_2026),WORKDAY(FechaInicioProyecto,234,Feriados_BO_2026)))</f>
        <v/>
      </c>
      <c r="IN3" s="96" t="str">
        <f>IF(236&gt;HorizonteDias,"",IFERROR(WORKDAY(IM3,1,Feriados_BO_2026),WORKDAY(FechaInicioProyecto,235,Feriados_BO_2026)))</f>
        <v/>
      </c>
      <c r="IO3" s="96" t="str">
        <f>IF(237&gt;HorizonteDias,"",IFERROR(WORKDAY(IN3,1,Feriados_BO_2026),WORKDAY(FechaInicioProyecto,236,Feriados_BO_2026)))</f>
        <v/>
      </c>
      <c r="IP3" s="96" t="str">
        <f>IF(238&gt;HorizonteDias,"",IFERROR(WORKDAY(IO3,1,Feriados_BO_2026),WORKDAY(FechaInicioProyecto,237,Feriados_BO_2026)))</f>
        <v/>
      </c>
      <c r="IQ3" s="96" t="str">
        <f>IF(239&gt;HorizonteDias,"",IFERROR(WORKDAY(IP3,1,Feriados_BO_2026),WORKDAY(FechaInicioProyecto,238,Feriados_BO_2026)))</f>
        <v/>
      </c>
      <c r="IR3" s="96" t="str">
        <f>IF(240&gt;HorizonteDias,"",IFERROR(WORKDAY(IQ3,1,Feriados_BO_2026),WORKDAY(FechaInicioProyecto,239,Feriados_BO_2026)))</f>
        <v/>
      </c>
      <c r="IS3" s="96" t="str">
        <f>IF(241&gt;HorizonteDias,"",IFERROR(WORKDAY(IR3,1,Feriados_BO_2026),WORKDAY(FechaInicioProyecto,240,Feriados_BO_2026)))</f>
        <v/>
      </c>
      <c r="IT3" s="96" t="str">
        <f>IF(242&gt;HorizonteDias,"",IFERROR(WORKDAY(IS3,1,Feriados_BO_2026),WORKDAY(FechaInicioProyecto,241,Feriados_BO_2026)))</f>
        <v/>
      </c>
      <c r="IU3" s="96" t="str">
        <f>IF(243&gt;HorizonteDias,"",IFERROR(WORKDAY(IT3,1,Feriados_BO_2026),WORKDAY(FechaInicioProyecto,242,Feriados_BO_2026)))</f>
        <v/>
      </c>
      <c r="IV3" s="96" t="str">
        <f>IF(244&gt;HorizonteDias,"",IFERROR(WORKDAY(IU3,1,Feriados_BO_2026),WORKDAY(FechaInicioProyecto,243,Feriados_BO_2026)))</f>
        <v/>
      </c>
      <c r="IW3" s="96" t="str">
        <f>IF(245&gt;HorizonteDias,"",IFERROR(WORKDAY(IV3,1,Feriados_BO_2026),WORKDAY(FechaInicioProyecto,244,Feriados_BO_2026)))</f>
        <v/>
      </c>
      <c r="IX3" s="96" t="str">
        <f>IF(246&gt;HorizonteDias,"",IFERROR(WORKDAY(IW3,1,Feriados_BO_2026),WORKDAY(FechaInicioProyecto,245,Feriados_BO_2026)))</f>
        <v/>
      </c>
      <c r="IY3" s="96" t="str">
        <f>IF(247&gt;HorizonteDias,"",IFERROR(WORKDAY(IX3,1,Feriados_BO_2026),WORKDAY(FechaInicioProyecto,246,Feriados_BO_2026)))</f>
        <v/>
      </c>
      <c r="IZ3" s="96" t="str">
        <f>IF(248&gt;HorizonteDias,"",IFERROR(WORKDAY(IY3,1,Feriados_BO_2026),WORKDAY(FechaInicioProyecto,247,Feriados_BO_2026)))</f>
        <v/>
      </c>
      <c r="JA3" s="96" t="str">
        <f>IF(249&gt;HorizonteDias,"",IFERROR(WORKDAY(IZ3,1,Feriados_BO_2026),WORKDAY(FechaInicioProyecto,248,Feriados_BO_2026)))</f>
        <v/>
      </c>
      <c r="JB3" s="96" t="str">
        <f>IF(250&gt;HorizonteDias,"",IFERROR(WORKDAY(JA3,1,Feriados_BO_2026),WORKDAY(FechaInicioProyecto,249,Feriados_BO_2026)))</f>
        <v/>
      </c>
      <c r="JC3" s="96" t="str">
        <f>IF(251&gt;HorizonteDias,"",IFERROR(WORKDAY(JB3,1,Feriados_BO_2026),WORKDAY(FechaInicioProyecto,250,Feriados_BO_2026)))</f>
        <v/>
      </c>
      <c r="JD3" s="96" t="str">
        <f>IF(252&gt;HorizonteDias,"",IFERROR(WORKDAY(JC3,1,Feriados_BO_2026),WORKDAY(FechaInicioProyecto,251,Feriados_BO_2026)))</f>
        <v/>
      </c>
      <c r="JE3" s="96" t="str">
        <f>IF(253&gt;HorizonteDias,"",IFERROR(WORKDAY(JD3,1,Feriados_BO_2026),WORKDAY(FechaInicioProyecto,252,Feriados_BO_2026)))</f>
        <v/>
      </c>
      <c r="JF3" s="96" t="str">
        <f>IF(254&gt;HorizonteDias,"",IFERROR(WORKDAY(JE3,1,Feriados_BO_2026),WORKDAY(FechaInicioProyecto,253,Feriados_BO_2026)))</f>
        <v/>
      </c>
      <c r="JG3" s="96" t="str">
        <f>IF(255&gt;HorizonteDias,"",IFERROR(WORKDAY(JF3,1,Feriados_BO_2026),WORKDAY(FechaInicioProyecto,254,Feriados_BO_2026)))</f>
        <v/>
      </c>
      <c r="JH3" s="96" t="str">
        <f>IF(256&gt;HorizonteDias,"",IFERROR(WORKDAY(JG3,1,Feriados_BO_2026),WORKDAY(FechaInicioProyecto,255,Feriados_BO_2026)))</f>
        <v/>
      </c>
      <c r="JI3" s="96" t="str">
        <f>IF(257&gt;HorizonteDias,"",IFERROR(WORKDAY(JH3,1,Feriados_BO_2026),WORKDAY(FechaInicioProyecto,256,Feriados_BO_2026)))</f>
        <v/>
      </c>
      <c r="JJ3" s="96" t="str">
        <f>IF(258&gt;HorizonteDias,"",IFERROR(WORKDAY(JI3,1,Feriados_BO_2026),WORKDAY(FechaInicioProyecto,257,Feriados_BO_2026)))</f>
        <v/>
      </c>
      <c r="JK3" s="96" t="str">
        <f>IF(259&gt;HorizonteDias,"",IFERROR(WORKDAY(JJ3,1,Feriados_BO_2026),WORKDAY(FechaInicioProyecto,258,Feriados_BO_2026)))</f>
        <v/>
      </c>
      <c r="JL3" s="96" t="str">
        <f>IF(260&gt;HorizonteDias,"",IFERROR(WORKDAY(JK3,1,Feriados_BO_2026),WORKDAY(FechaInicioProyecto,259,Feriados_BO_2026)))</f>
        <v/>
      </c>
    </row>
    <row r="4" spans="1:272" ht="16.95" customHeight="1" x14ac:dyDescent="0.3">
      <c r="A4" s="129" t="s">
        <v>51</v>
      </c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62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3"/>
      <c r="BK4" s="63"/>
      <c r="BL4" s="63"/>
      <c r="BM4" s="63"/>
      <c r="BN4" s="63"/>
      <c r="BO4" s="63"/>
      <c r="BP4" s="63"/>
      <c r="BQ4" s="63"/>
      <c r="BR4" s="63"/>
      <c r="BS4" s="63"/>
      <c r="BT4" s="63"/>
      <c r="BU4" s="63"/>
      <c r="BV4" s="63"/>
      <c r="BW4" s="63"/>
      <c r="BX4" s="63"/>
      <c r="BY4" s="63"/>
      <c r="BZ4" s="63"/>
      <c r="CA4" s="63"/>
      <c r="CB4" s="63"/>
      <c r="CC4" s="63"/>
      <c r="CD4" s="63"/>
      <c r="CE4" s="63"/>
      <c r="CF4" s="63"/>
      <c r="CG4" s="63"/>
      <c r="CH4" s="63"/>
      <c r="CI4" s="63"/>
      <c r="CJ4" s="63"/>
      <c r="CK4" s="63"/>
      <c r="CL4" s="63"/>
      <c r="CM4" s="63"/>
      <c r="CN4" s="63"/>
      <c r="CO4" s="63"/>
      <c r="CP4" s="63"/>
      <c r="CQ4" s="63"/>
      <c r="CR4" s="63"/>
      <c r="CS4" s="63"/>
      <c r="CT4" s="63"/>
      <c r="CU4" s="63"/>
      <c r="CV4" s="63"/>
      <c r="CW4" s="63"/>
      <c r="CX4" s="63"/>
      <c r="CY4" s="63"/>
      <c r="CZ4" s="63"/>
      <c r="DA4" s="63"/>
      <c r="DB4" s="63"/>
      <c r="DC4" s="63"/>
      <c r="DD4" s="63"/>
      <c r="DE4" s="63"/>
      <c r="DF4" s="63"/>
      <c r="DG4" s="63"/>
      <c r="DH4" s="63"/>
      <c r="DI4" s="63"/>
      <c r="DJ4" s="63"/>
      <c r="DK4" s="63"/>
      <c r="DL4" s="63"/>
      <c r="DM4" s="63"/>
      <c r="DN4" s="63"/>
      <c r="DO4" s="63"/>
      <c r="DP4" s="63"/>
      <c r="DQ4" s="63"/>
      <c r="DR4" s="63"/>
      <c r="DS4" s="63"/>
      <c r="DT4" s="63"/>
      <c r="DU4" s="63"/>
      <c r="DV4" s="63"/>
      <c r="DW4" s="63"/>
      <c r="DX4" s="63"/>
      <c r="DY4" s="63"/>
      <c r="DZ4" s="63"/>
      <c r="EA4" s="63"/>
      <c r="EB4" s="63"/>
      <c r="EC4" s="63"/>
      <c r="ED4" s="63"/>
      <c r="EE4" s="63"/>
      <c r="EF4" s="63"/>
      <c r="EG4" s="63"/>
      <c r="EH4" s="63"/>
      <c r="EI4" s="63"/>
      <c r="EJ4" s="63"/>
      <c r="EK4" s="63"/>
      <c r="EL4" s="63"/>
      <c r="EM4" s="63"/>
      <c r="EN4" s="63"/>
      <c r="EO4" s="63"/>
      <c r="EP4" s="63"/>
      <c r="EQ4" s="63"/>
      <c r="ER4" s="63"/>
      <c r="ES4" s="63"/>
      <c r="ET4" s="63"/>
      <c r="EU4" s="63"/>
      <c r="EV4" s="63"/>
      <c r="EW4" s="63"/>
      <c r="EX4" s="63"/>
      <c r="EY4" s="63"/>
      <c r="EZ4" s="63"/>
      <c r="FA4" s="63"/>
      <c r="FB4" s="63"/>
      <c r="FC4" s="63"/>
      <c r="FD4" s="63"/>
      <c r="FE4" s="63"/>
      <c r="FF4" s="63"/>
      <c r="FG4" s="63"/>
      <c r="FH4" s="63"/>
      <c r="FI4" s="63"/>
      <c r="FJ4" s="63"/>
      <c r="FK4" s="63"/>
      <c r="FL4" s="63"/>
      <c r="FM4" s="63"/>
      <c r="FN4" s="63"/>
      <c r="FO4" s="63"/>
      <c r="FP4" s="63"/>
      <c r="FQ4" s="63"/>
      <c r="FR4" s="63"/>
      <c r="FS4" s="63"/>
      <c r="FT4" s="63"/>
      <c r="FU4" s="63"/>
      <c r="FV4" s="63"/>
      <c r="FW4" s="63"/>
      <c r="FX4" s="63"/>
      <c r="FY4" s="63"/>
      <c r="FZ4" s="63"/>
      <c r="GA4" s="63"/>
      <c r="GB4" s="63"/>
      <c r="GC4" s="63"/>
      <c r="GD4" s="63"/>
      <c r="GE4" s="63"/>
      <c r="GF4" s="63"/>
      <c r="GG4" s="63"/>
      <c r="GH4" s="63"/>
      <c r="GI4" s="63"/>
      <c r="GJ4" s="63"/>
      <c r="GK4" s="63"/>
      <c r="GL4" s="63"/>
      <c r="GM4" s="63"/>
      <c r="GN4" s="63"/>
      <c r="GO4" s="63"/>
      <c r="GP4" s="63"/>
      <c r="GQ4" s="63"/>
      <c r="GR4" s="63"/>
      <c r="GS4" s="63"/>
      <c r="GT4" s="63"/>
      <c r="GU4" s="63"/>
      <c r="GV4" s="63"/>
      <c r="GW4" s="63"/>
      <c r="GX4" s="63"/>
      <c r="GY4" s="63"/>
      <c r="GZ4" s="63"/>
      <c r="HA4" s="63"/>
      <c r="HB4" s="63"/>
      <c r="HC4" s="63"/>
      <c r="HD4" s="63"/>
      <c r="HE4" s="63"/>
      <c r="HF4" s="63"/>
      <c r="HG4" s="63"/>
      <c r="HH4" s="63"/>
      <c r="HI4" s="63"/>
      <c r="HJ4" s="63"/>
      <c r="HK4" s="63"/>
      <c r="HL4" s="63"/>
      <c r="HM4" s="63"/>
      <c r="HN4" s="63"/>
      <c r="HO4" s="63"/>
      <c r="HP4" s="63"/>
      <c r="HQ4" s="63"/>
      <c r="HR4" s="63"/>
      <c r="HS4" s="63"/>
      <c r="HT4" s="63"/>
      <c r="HU4" s="63"/>
      <c r="HV4" s="63"/>
      <c r="HW4" s="63"/>
      <c r="HX4" s="63"/>
      <c r="HY4" s="63"/>
      <c r="HZ4" s="63"/>
      <c r="IA4" s="63"/>
      <c r="IB4" s="63"/>
      <c r="IC4" s="63"/>
      <c r="ID4" s="63"/>
      <c r="IE4" s="63"/>
      <c r="IF4" s="63"/>
      <c r="IG4" s="63"/>
      <c r="IH4" s="63"/>
      <c r="II4" s="63"/>
      <c r="IJ4" s="63"/>
      <c r="IK4" s="63"/>
      <c r="IL4" s="63"/>
      <c r="IM4" s="63"/>
      <c r="IN4" s="63"/>
      <c r="IO4" s="63"/>
      <c r="IP4" s="63"/>
      <c r="IQ4" s="63"/>
      <c r="IR4" s="63"/>
      <c r="IS4" s="63"/>
      <c r="IT4" s="63"/>
      <c r="IU4" s="63"/>
      <c r="IV4" s="63"/>
      <c r="IW4" s="63"/>
      <c r="IX4" s="63"/>
      <c r="IY4" s="63"/>
      <c r="IZ4" s="63"/>
      <c r="JA4" s="63"/>
      <c r="JB4" s="63"/>
      <c r="JC4" s="63"/>
      <c r="JD4" s="63"/>
      <c r="JE4" s="63"/>
      <c r="JF4" s="63"/>
      <c r="JG4" s="63"/>
      <c r="JH4" s="63"/>
      <c r="JI4" s="63"/>
      <c r="JJ4" s="63"/>
      <c r="JK4" s="63"/>
      <c r="JL4" s="64"/>
    </row>
    <row r="5" spans="1:272" ht="16.95" customHeight="1" x14ac:dyDescent="0.3">
      <c r="B5" s="47" t="s">
        <v>52</v>
      </c>
      <c r="C5" s="48" t="s">
        <v>53</v>
      </c>
      <c r="D5" s="49">
        <f>FechaInicioProyecto</f>
        <v>46113</v>
      </c>
      <c r="E5" s="51">
        <v>2</v>
      </c>
      <c r="F5" s="50">
        <f>WORKDAY(D5,E5-1,Feriados_BO_2026)</f>
        <v>46114</v>
      </c>
      <c r="G5" s="68">
        <v>46113</v>
      </c>
      <c r="H5" s="68">
        <v>46113</v>
      </c>
      <c r="I5" s="84">
        <f ca="1">IF($H5&lt;&gt;"",SIGN($H5-$F5)*(NETWORKDAYS(MIN($F5,$H5),MAX($F5,$H5),Feriados_BO_2026)-1),IF($G5&lt;&gt;"",IF(TODAY()&gt;$F5,NETWORKDAYS($F5,TODAY(),Feriados_BO_2026)-1,0),IF(TODAY()&gt;$D5,NETWORKDAYS($D5,TODAY(),Feriados_BO_2026)-1,0)))</f>
        <v>-1</v>
      </c>
      <c r="J5" s="52">
        <v>2.1000000000000001E-2</v>
      </c>
      <c r="K5" s="53">
        <f>SUM(J$5:J5)</f>
        <v>2.1000000000000001E-2</v>
      </c>
      <c r="L5" s="55" t="s">
        <v>54</v>
      </c>
      <c r="M5" s="56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7"/>
      <c r="BE5" s="57"/>
      <c r="BF5" s="57"/>
      <c r="BG5" s="57"/>
      <c r="BH5" s="57"/>
      <c r="BI5" s="57"/>
      <c r="BJ5" s="57"/>
      <c r="BK5" s="57"/>
      <c r="BL5" s="57"/>
      <c r="BM5" s="57"/>
      <c r="BN5" s="57"/>
      <c r="BO5" s="57"/>
      <c r="BP5" s="57"/>
      <c r="BQ5" s="57"/>
      <c r="BR5" s="57"/>
      <c r="BS5" s="57"/>
      <c r="BT5" s="57"/>
      <c r="BU5" s="57"/>
      <c r="BV5" s="57"/>
      <c r="BW5" s="57"/>
      <c r="BX5" s="57"/>
      <c r="BY5" s="57"/>
      <c r="BZ5" s="57"/>
      <c r="CA5" s="57"/>
      <c r="CB5" s="57"/>
      <c r="CC5" s="57"/>
      <c r="CD5" s="57"/>
      <c r="CE5" s="57"/>
      <c r="CF5" s="57"/>
      <c r="CG5" s="57"/>
      <c r="CH5" s="57"/>
      <c r="CI5" s="57"/>
      <c r="CJ5" s="57"/>
      <c r="CK5" s="57"/>
      <c r="CL5" s="57"/>
      <c r="CM5" s="57"/>
      <c r="CN5" s="57"/>
      <c r="CO5" s="57"/>
      <c r="CP5" s="57"/>
      <c r="CQ5" s="57"/>
      <c r="CR5" s="57"/>
      <c r="CS5" s="57"/>
      <c r="CT5" s="57"/>
      <c r="CU5" s="57"/>
      <c r="CV5" s="57"/>
      <c r="CW5" s="57"/>
      <c r="CX5" s="57"/>
      <c r="CY5" s="57"/>
      <c r="CZ5" s="57"/>
      <c r="DA5" s="57"/>
      <c r="DB5" s="57"/>
      <c r="DC5" s="57"/>
      <c r="DD5" s="57"/>
      <c r="DE5" s="57"/>
      <c r="DF5" s="57"/>
      <c r="DG5" s="57"/>
      <c r="DH5" s="57"/>
      <c r="DI5" s="57"/>
      <c r="DJ5" s="57"/>
      <c r="DK5" s="57"/>
      <c r="DL5" s="57"/>
      <c r="DM5" s="57"/>
      <c r="DN5" s="57"/>
      <c r="DO5" s="57"/>
      <c r="DP5" s="57"/>
      <c r="DQ5" s="57"/>
      <c r="DR5" s="57"/>
      <c r="DS5" s="57"/>
      <c r="DT5" s="57"/>
      <c r="DU5" s="57"/>
      <c r="DV5" s="57"/>
      <c r="DW5" s="57"/>
      <c r="DX5" s="57"/>
      <c r="DY5" s="57"/>
      <c r="DZ5" s="57"/>
      <c r="EA5" s="57"/>
      <c r="EB5" s="57"/>
      <c r="EC5" s="57"/>
      <c r="ED5" s="57"/>
      <c r="EE5" s="57"/>
      <c r="EF5" s="57"/>
      <c r="EG5" s="57"/>
      <c r="EH5" s="57"/>
      <c r="EI5" s="57"/>
      <c r="EJ5" s="57"/>
      <c r="EK5" s="57"/>
      <c r="EL5" s="57"/>
      <c r="EM5" s="57"/>
      <c r="EN5" s="57"/>
      <c r="EO5" s="57"/>
      <c r="EP5" s="57"/>
      <c r="EQ5" s="57"/>
      <c r="ER5" s="57"/>
      <c r="ES5" s="57"/>
      <c r="ET5" s="57"/>
      <c r="EU5" s="57"/>
      <c r="EV5" s="57"/>
      <c r="EW5" s="57"/>
      <c r="EX5" s="57"/>
      <c r="EY5" s="57"/>
      <c r="EZ5" s="57"/>
      <c r="FA5" s="57"/>
      <c r="FB5" s="57"/>
      <c r="FC5" s="57"/>
      <c r="FD5" s="57"/>
      <c r="FE5" s="57"/>
      <c r="FF5" s="57"/>
      <c r="FG5" s="57"/>
      <c r="FH5" s="57"/>
      <c r="FI5" s="57"/>
      <c r="FJ5" s="57"/>
      <c r="FK5" s="57"/>
      <c r="FL5" s="57"/>
      <c r="FM5" s="57"/>
      <c r="FN5" s="57"/>
      <c r="FO5" s="57"/>
      <c r="FP5" s="57"/>
      <c r="FQ5" s="57"/>
      <c r="FR5" s="57"/>
      <c r="FS5" s="57"/>
      <c r="FT5" s="57"/>
      <c r="FU5" s="57"/>
      <c r="FV5" s="57"/>
      <c r="FW5" s="57"/>
      <c r="FX5" s="57"/>
      <c r="FY5" s="57"/>
      <c r="FZ5" s="57"/>
      <c r="GA5" s="57"/>
      <c r="GB5" s="57"/>
      <c r="GC5" s="57"/>
      <c r="GD5" s="57"/>
      <c r="GE5" s="57"/>
      <c r="GF5" s="57"/>
      <c r="GG5" s="57"/>
      <c r="GH5" s="57"/>
      <c r="GI5" s="57"/>
      <c r="GJ5" s="57"/>
      <c r="GK5" s="57"/>
      <c r="GL5" s="57"/>
      <c r="GM5" s="57"/>
      <c r="GN5" s="57"/>
      <c r="GO5" s="57"/>
      <c r="GP5" s="57"/>
      <c r="GQ5" s="57"/>
      <c r="GR5" s="57"/>
      <c r="GS5" s="57"/>
      <c r="GT5" s="57"/>
      <c r="GU5" s="57"/>
      <c r="GV5" s="57"/>
      <c r="GW5" s="57"/>
      <c r="GX5" s="57"/>
      <c r="GY5" s="57"/>
      <c r="GZ5" s="57"/>
      <c r="HA5" s="57"/>
      <c r="HB5" s="57"/>
      <c r="HC5" s="57"/>
      <c r="HD5" s="57"/>
      <c r="HE5" s="57"/>
      <c r="HF5" s="57"/>
      <c r="HG5" s="57"/>
      <c r="HH5" s="57"/>
      <c r="HI5" s="57"/>
      <c r="HJ5" s="57"/>
      <c r="HK5" s="57"/>
      <c r="HL5" s="57"/>
      <c r="HM5" s="57"/>
      <c r="HN5" s="57"/>
      <c r="HO5" s="57"/>
      <c r="HP5" s="57"/>
      <c r="HQ5" s="57"/>
      <c r="HR5" s="57"/>
      <c r="HS5" s="57"/>
      <c r="HT5" s="57"/>
      <c r="HU5" s="57"/>
      <c r="HV5" s="57"/>
      <c r="HW5" s="57"/>
      <c r="HX5" s="57"/>
      <c r="HY5" s="57"/>
      <c r="HZ5" s="57"/>
      <c r="IA5" s="57"/>
      <c r="IB5" s="57"/>
      <c r="IC5" s="57"/>
      <c r="ID5" s="57"/>
      <c r="IE5" s="57"/>
      <c r="IF5" s="57"/>
      <c r="IG5" s="57"/>
      <c r="IH5" s="57"/>
      <c r="II5" s="57"/>
      <c r="IJ5" s="57"/>
      <c r="IK5" s="57"/>
      <c r="IL5" s="57"/>
      <c r="IM5" s="57"/>
      <c r="IN5" s="57"/>
      <c r="IO5" s="57"/>
      <c r="IP5" s="57"/>
      <c r="IQ5" s="57"/>
      <c r="IR5" s="57"/>
      <c r="IS5" s="57"/>
      <c r="IT5" s="57"/>
      <c r="IU5" s="57"/>
      <c r="IV5" s="57"/>
      <c r="IW5" s="57"/>
      <c r="IX5" s="57"/>
      <c r="IY5" s="57"/>
      <c r="IZ5" s="57"/>
      <c r="JA5" s="57"/>
      <c r="JB5" s="57"/>
      <c r="JC5" s="57"/>
      <c r="JD5" s="57"/>
      <c r="JE5" s="57"/>
      <c r="JF5" s="57"/>
      <c r="JG5" s="57"/>
      <c r="JH5" s="57"/>
      <c r="JI5" s="57"/>
      <c r="JJ5" s="57"/>
      <c r="JK5" s="57"/>
      <c r="JL5" s="58"/>
    </row>
    <row r="6" spans="1:272" ht="16.95" customHeight="1" x14ac:dyDescent="0.3">
      <c r="B6" s="47" t="s">
        <v>55</v>
      </c>
      <c r="C6" s="48" t="s">
        <v>56</v>
      </c>
      <c r="D6" s="49">
        <f>WORKDAY(F5,1,Feriados_BO_2026)</f>
        <v>46118</v>
      </c>
      <c r="E6" s="51">
        <v>1</v>
      </c>
      <c r="F6" s="50">
        <f>WORKDAY(D6,E6-1,Feriados_BO_2026)</f>
        <v>46118</v>
      </c>
      <c r="G6" s="68">
        <v>46114</v>
      </c>
      <c r="H6" s="68">
        <v>46114</v>
      </c>
      <c r="I6" s="84">
        <f ca="1">IF($H6&lt;&gt;"",SIGN($H6-$F6)*(NETWORKDAYS(MIN($F6,$H6),MAX($F6,$H6),Feriados_BO_2026)-1),IF($G6&lt;&gt;"",IF(TODAY()&gt;$F6,NETWORKDAYS($F6,TODAY(),Feriados_BO_2026)-1,0),IF(TODAY()&gt;$D6,NETWORKDAYS($D6,TODAY(),Feriados_BO_2026)-1,0)))</f>
        <v>-1</v>
      </c>
      <c r="J6" s="52">
        <v>2.1000000000000001E-2</v>
      </c>
      <c r="K6" s="53">
        <f>SUM(J$5:J6)</f>
        <v>4.2000000000000003E-2</v>
      </c>
      <c r="L6" s="55" t="s">
        <v>54</v>
      </c>
      <c r="M6" s="56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57"/>
      <c r="BL6" s="57"/>
      <c r="BM6" s="57"/>
      <c r="BN6" s="57"/>
      <c r="BO6" s="57"/>
      <c r="BP6" s="57"/>
      <c r="BQ6" s="57"/>
      <c r="BR6" s="57"/>
      <c r="BS6" s="57"/>
      <c r="BT6" s="57"/>
      <c r="BU6" s="57"/>
      <c r="BV6" s="57"/>
      <c r="BW6" s="57"/>
      <c r="BX6" s="57"/>
      <c r="BY6" s="57"/>
      <c r="BZ6" s="57"/>
      <c r="CA6" s="57"/>
      <c r="CB6" s="57"/>
      <c r="CC6" s="57"/>
      <c r="CD6" s="57"/>
      <c r="CE6" s="57"/>
      <c r="CF6" s="57"/>
      <c r="CG6" s="57"/>
      <c r="CH6" s="57"/>
      <c r="CI6" s="57"/>
      <c r="CJ6" s="57"/>
      <c r="CK6" s="57"/>
      <c r="CL6" s="57"/>
      <c r="CM6" s="57"/>
      <c r="CN6" s="57"/>
      <c r="CO6" s="57"/>
      <c r="CP6" s="57"/>
      <c r="CQ6" s="57"/>
      <c r="CR6" s="57"/>
      <c r="CS6" s="57"/>
      <c r="CT6" s="57"/>
      <c r="CU6" s="57"/>
      <c r="CV6" s="57"/>
      <c r="CW6" s="57"/>
      <c r="CX6" s="57"/>
      <c r="CY6" s="57"/>
      <c r="CZ6" s="57"/>
      <c r="DA6" s="57"/>
      <c r="DB6" s="57"/>
      <c r="DC6" s="57"/>
      <c r="DD6" s="57"/>
      <c r="DE6" s="57"/>
      <c r="DF6" s="57"/>
      <c r="DG6" s="57"/>
      <c r="DH6" s="57"/>
      <c r="DI6" s="57"/>
      <c r="DJ6" s="57"/>
      <c r="DK6" s="57"/>
      <c r="DL6" s="57"/>
      <c r="DM6" s="57"/>
      <c r="DN6" s="57"/>
      <c r="DO6" s="57"/>
      <c r="DP6" s="57"/>
      <c r="DQ6" s="57"/>
      <c r="DR6" s="57"/>
      <c r="DS6" s="57"/>
      <c r="DT6" s="57"/>
      <c r="DU6" s="57"/>
      <c r="DV6" s="57"/>
      <c r="DW6" s="57"/>
      <c r="DX6" s="57"/>
      <c r="DY6" s="57"/>
      <c r="DZ6" s="57"/>
      <c r="EA6" s="57"/>
      <c r="EB6" s="57"/>
      <c r="EC6" s="57"/>
      <c r="ED6" s="57"/>
      <c r="EE6" s="57"/>
      <c r="EF6" s="57"/>
      <c r="EG6" s="57"/>
      <c r="EH6" s="57"/>
      <c r="EI6" s="57"/>
      <c r="EJ6" s="57"/>
      <c r="EK6" s="57"/>
      <c r="EL6" s="57"/>
      <c r="EM6" s="57"/>
      <c r="EN6" s="57"/>
      <c r="EO6" s="57"/>
      <c r="EP6" s="57"/>
      <c r="EQ6" s="57"/>
      <c r="ER6" s="57"/>
      <c r="ES6" s="57"/>
      <c r="ET6" s="57"/>
      <c r="EU6" s="57"/>
      <c r="EV6" s="57"/>
      <c r="EW6" s="57"/>
      <c r="EX6" s="57"/>
      <c r="EY6" s="57"/>
      <c r="EZ6" s="57"/>
      <c r="FA6" s="57"/>
      <c r="FB6" s="57"/>
      <c r="FC6" s="57"/>
      <c r="FD6" s="57"/>
      <c r="FE6" s="57"/>
      <c r="FF6" s="57"/>
      <c r="FG6" s="57"/>
      <c r="FH6" s="57"/>
      <c r="FI6" s="57"/>
      <c r="FJ6" s="57"/>
      <c r="FK6" s="57"/>
      <c r="FL6" s="57"/>
      <c r="FM6" s="57"/>
      <c r="FN6" s="57"/>
      <c r="FO6" s="57"/>
      <c r="FP6" s="57"/>
      <c r="FQ6" s="57"/>
      <c r="FR6" s="57"/>
      <c r="FS6" s="57"/>
      <c r="FT6" s="57"/>
      <c r="FU6" s="57"/>
      <c r="FV6" s="57"/>
      <c r="FW6" s="57"/>
      <c r="FX6" s="57"/>
      <c r="FY6" s="57"/>
      <c r="FZ6" s="57"/>
      <c r="GA6" s="57"/>
      <c r="GB6" s="57"/>
      <c r="GC6" s="57"/>
      <c r="GD6" s="57"/>
      <c r="GE6" s="57"/>
      <c r="GF6" s="57"/>
      <c r="GG6" s="57"/>
      <c r="GH6" s="57"/>
      <c r="GI6" s="57"/>
      <c r="GJ6" s="57"/>
      <c r="GK6" s="57"/>
      <c r="GL6" s="57"/>
      <c r="GM6" s="57"/>
      <c r="GN6" s="57"/>
      <c r="GO6" s="57"/>
      <c r="GP6" s="57"/>
      <c r="GQ6" s="57"/>
      <c r="GR6" s="57"/>
      <c r="GS6" s="57"/>
      <c r="GT6" s="57"/>
      <c r="GU6" s="57"/>
      <c r="GV6" s="57"/>
      <c r="GW6" s="57"/>
      <c r="GX6" s="57"/>
      <c r="GY6" s="57"/>
      <c r="GZ6" s="57"/>
      <c r="HA6" s="57"/>
      <c r="HB6" s="57"/>
      <c r="HC6" s="57"/>
      <c r="HD6" s="57"/>
      <c r="HE6" s="57"/>
      <c r="HF6" s="57"/>
      <c r="HG6" s="57"/>
      <c r="HH6" s="57"/>
      <c r="HI6" s="57"/>
      <c r="HJ6" s="57"/>
      <c r="HK6" s="57"/>
      <c r="HL6" s="57"/>
      <c r="HM6" s="57"/>
      <c r="HN6" s="57"/>
      <c r="HO6" s="57"/>
      <c r="HP6" s="57"/>
      <c r="HQ6" s="57"/>
      <c r="HR6" s="57"/>
      <c r="HS6" s="57"/>
      <c r="HT6" s="57"/>
      <c r="HU6" s="57"/>
      <c r="HV6" s="57"/>
      <c r="HW6" s="57"/>
      <c r="HX6" s="57"/>
      <c r="HY6" s="57"/>
      <c r="HZ6" s="57"/>
      <c r="IA6" s="57"/>
      <c r="IB6" s="57"/>
      <c r="IC6" s="57"/>
      <c r="ID6" s="57"/>
      <c r="IE6" s="57"/>
      <c r="IF6" s="57"/>
      <c r="IG6" s="57"/>
      <c r="IH6" s="57"/>
      <c r="II6" s="57"/>
      <c r="IJ6" s="57"/>
      <c r="IK6" s="57"/>
      <c r="IL6" s="57"/>
      <c r="IM6" s="57"/>
      <c r="IN6" s="57"/>
      <c r="IO6" s="57"/>
      <c r="IP6" s="57"/>
      <c r="IQ6" s="57"/>
      <c r="IR6" s="57"/>
      <c r="IS6" s="57"/>
      <c r="IT6" s="57"/>
      <c r="IU6" s="57"/>
      <c r="IV6" s="57"/>
      <c r="IW6" s="57"/>
      <c r="IX6" s="57"/>
      <c r="IY6" s="57"/>
      <c r="IZ6" s="57"/>
      <c r="JA6" s="57"/>
      <c r="JB6" s="57"/>
      <c r="JC6" s="57"/>
      <c r="JD6" s="57"/>
      <c r="JE6" s="57"/>
      <c r="JF6" s="57"/>
      <c r="JG6" s="57"/>
      <c r="JH6" s="57"/>
      <c r="JI6" s="57"/>
      <c r="JJ6" s="57"/>
      <c r="JK6" s="57"/>
      <c r="JL6" s="58"/>
    </row>
    <row r="7" spans="1:272" ht="16.95" customHeight="1" x14ac:dyDescent="0.3">
      <c r="B7" s="47" t="s">
        <v>57</v>
      </c>
      <c r="C7" s="48" t="s">
        <v>53</v>
      </c>
      <c r="D7" s="49">
        <f>WORKDAY(F6,1,Feriados_BO_2026)</f>
        <v>46119</v>
      </c>
      <c r="E7" s="51">
        <v>1</v>
      </c>
      <c r="F7" s="50">
        <f>WORKDAY(D7,E7-1,Feriados_BO_2026)</f>
        <v>46119</v>
      </c>
      <c r="G7" s="68">
        <v>46118</v>
      </c>
      <c r="H7" s="68">
        <v>46118</v>
      </c>
      <c r="I7" s="84">
        <f ca="1">IF($H7&lt;&gt;"",SIGN($H7-$F7)*(NETWORKDAYS(MIN($F7,$H7),MAX($F7,$H7),Feriados_BO_2026)-1),IF($G7&lt;&gt;"",IF(TODAY()&gt;$F7,NETWORKDAYS($F7,TODAY(),Feriados_BO_2026)-1,0),IF(TODAY()&gt;$D7,NETWORKDAYS($D7,TODAY(),Feriados_BO_2026)-1,0)))</f>
        <v>-1</v>
      </c>
      <c r="J7" s="52">
        <v>0.01</v>
      </c>
      <c r="K7" s="53">
        <f>SUM(J$5:J7)</f>
        <v>5.2000000000000005E-2</v>
      </c>
      <c r="L7" s="55" t="s">
        <v>54</v>
      </c>
      <c r="M7" s="56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7"/>
      <c r="BV7" s="57"/>
      <c r="BW7" s="57"/>
      <c r="BX7" s="57"/>
      <c r="BY7" s="57"/>
      <c r="BZ7" s="57"/>
      <c r="CA7" s="57"/>
      <c r="CB7" s="57"/>
      <c r="CC7" s="57"/>
      <c r="CD7" s="57"/>
      <c r="CE7" s="57"/>
      <c r="CF7" s="57"/>
      <c r="CG7" s="57"/>
      <c r="CH7" s="57"/>
      <c r="CI7" s="57"/>
      <c r="CJ7" s="57"/>
      <c r="CK7" s="57"/>
      <c r="CL7" s="57"/>
      <c r="CM7" s="57"/>
      <c r="CN7" s="57"/>
      <c r="CO7" s="57"/>
      <c r="CP7" s="57"/>
      <c r="CQ7" s="57"/>
      <c r="CR7" s="57"/>
      <c r="CS7" s="57"/>
      <c r="CT7" s="57"/>
      <c r="CU7" s="57"/>
      <c r="CV7" s="57"/>
      <c r="CW7" s="57"/>
      <c r="CX7" s="57"/>
      <c r="CY7" s="57"/>
      <c r="CZ7" s="57"/>
      <c r="DA7" s="57"/>
      <c r="DB7" s="57"/>
      <c r="DC7" s="57"/>
      <c r="DD7" s="57"/>
      <c r="DE7" s="57"/>
      <c r="DF7" s="57"/>
      <c r="DG7" s="57"/>
      <c r="DH7" s="57"/>
      <c r="DI7" s="57"/>
      <c r="DJ7" s="57"/>
      <c r="DK7" s="57"/>
      <c r="DL7" s="57"/>
      <c r="DM7" s="57"/>
      <c r="DN7" s="57"/>
      <c r="DO7" s="57"/>
      <c r="DP7" s="57"/>
      <c r="DQ7" s="57"/>
      <c r="DR7" s="57"/>
      <c r="DS7" s="57"/>
      <c r="DT7" s="57"/>
      <c r="DU7" s="57"/>
      <c r="DV7" s="57"/>
      <c r="DW7" s="57"/>
      <c r="DX7" s="57"/>
      <c r="DY7" s="57"/>
      <c r="DZ7" s="57"/>
      <c r="EA7" s="57"/>
      <c r="EB7" s="57"/>
      <c r="EC7" s="57"/>
      <c r="ED7" s="57"/>
      <c r="EE7" s="57"/>
      <c r="EF7" s="57"/>
      <c r="EG7" s="57"/>
      <c r="EH7" s="57"/>
      <c r="EI7" s="57"/>
      <c r="EJ7" s="57"/>
      <c r="EK7" s="57"/>
      <c r="EL7" s="57"/>
      <c r="EM7" s="57"/>
      <c r="EN7" s="57"/>
      <c r="EO7" s="57"/>
      <c r="EP7" s="57"/>
      <c r="EQ7" s="57"/>
      <c r="ER7" s="57"/>
      <c r="ES7" s="57"/>
      <c r="ET7" s="57"/>
      <c r="EU7" s="57"/>
      <c r="EV7" s="57"/>
      <c r="EW7" s="57"/>
      <c r="EX7" s="57"/>
      <c r="EY7" s="57"/>
      <c r="EZ7" s="57"/>
      <c r="FA7" s="57"/>
      <c r="FB7" s="57"/>
      <c r="FC7" s="57"/>
      <c r="FD7" s="57"/>
      <c r="FE7" s="57"/>
      <c r="FF7" s="57"/>
      <c r="FG7" s="57"/>
      <c r="FH7" s="57"/>
      <c r="FI7" s="57"/>
      <c r="FJ7" s="57"/>
      <c r="FK7" s="57"/>
      <c r="FL7" s="57"/>
      <c r="FM7" s="57"/>
      <c r="FN7" s="57"/>
      <c r="FO7" s="57"/>
      <c r="FP7" s="57"/>
      <c r="FQ7" s="57"/>
      <c r="FR7" s="57"/>
      <c r="FS7" s="57"/>
      <c r="FT7" s="57"/>
      <c r="FU7" s="57"/>
      <c r="FV7" s="57"/>
      <c r="FW7" s="57"/>
      <c r="FX7" s="57"/>
      <c r="FY7" s="57"/>
      <c r="FZ7" s="57"/>
      <c r="GA7" s="57"/>
      <c r="GB7" s="57"/>
      <c r="GC7" s="57"/>
      <c r="GD7" s="57"/>
      <c r="GE7" s="57"/>
      <c r="GF7" s="57"/>
      <c r="GG7" s="57"/>
      <c r="GH7" s="57"/>
      <c r="GI7" s="57"/>
      <c r="GJ7" s="57"/>
      <c r="GK7" s="57"/>
      <c r="GL7" s="57"/>
      <c r="GM7" s="57"/>
      <c r="GN7" s="57"/>
      <c r="GO7" s="57"/>
      <c r="GP7" s="57"/>
      <c r="GQ7" s="57"/>
      <c r="GR7" s="57"/>
      <c r="GS7" s="57"/>
      <c r="GT7" s="57"/>
      <c r="GU7" s="57"/>
      <c r="GV7" s="57"/>
      <c r="GW7" s="57"/>
      <c r="GX7" s="57"/>
      <c r="GY7" s="57"/>
      <c r="GZ7" s="57"/>
      <c r="HA7" s="57"/>
      <c r="HB7" s="57"/>
      <c r="HC7" s="57"/>
      <c r="HD7" s="57"/>
      <c r="HE7" s="57"/>
      <c r="HF7" s="57"/>
      <c r="HG7" s="57"/>
      <c r="HH7" s="57"/>
      <c r="HI7" s="57"/>
      <c r="HJ7" s="57"/>
      <c r="HK7" s="57"/>
      <c r="HL7" s="57"/>
      <c r="HM7" s="57"/>
      <c r="HN7" s="57"/>
      <c r="HO7" s="57"/>
      <c r="HP7" s="57"/>
      <c r="HQ7" s="57"/>
      <c r="HR7" s="57"/>
      <c r="HS7" s="57"/>
      <c r="HT7" s="57"/>
      <c r="HU7" s="57"/>
      <c r="HV7" s="57"/>
      <c r="HW7" s="57"/>
      <c r="HX7" s="57"/>
      <c r="HY7" s="57"/>
      <c r="HZ7" s="57"/>
      <c r="IA7" s="57"/>
      <c r="IB7" s="57"/>
      <c r="IC7" s="57"/>
      <c r="ID7" s="57"/>
      <c r="IE7" s="57"/>
      <c r="IF7" s="57"/>
      <c r="IG7" s="57"/>
      <c r="IH7" s="57"/>
      <c r="II7" s="57"/>
      <c r="IJ7" s="57"/>
      <c r="IK7" s="57"/>
      <c r="IL7" s="57"/>
      <c r="IM7" s="57"/>
      <c r="IN7" s="57"/>
      <c r="IO7" s="57"/>
      <c r="IP7" s="57"/>
      <c r="IQ7" s="57"/>
      <c r="IR7" s="57"/>
      <c r="IS7" s="57"/>
      <c r="IT7" s="57"/>
      <c r="IU7" s="57"/>
      <c r="IV7" s="57"/>
      <c r="IW7" s="57"/>
      <c r="IX7" s="57"/>
      <c r="IY7" s="57"/>
      <c r="IZ7" s="57"/>
      <c r="JA7" s="57"/>
      <c r="JB7" s="57"/>
      <c r="JC7" s="57"/>
      <c r="JD7" s="57"/>
      <c r="JE7" s="57"/>
      <c r="JF7" s="57"/>
      <c r="JG7" s="57"/>
      <c r="JH7" s="57"/>
      <c r="JI7" s="57"/>
      <c r="JJ7" s="57"/>
      <c r="JK7" s="57"/>
      <c r="JL7" s="58"/>
    </row>
    <row r="8" spans="1:272" ht="16.95" customHeight="1" x14ac:dyDescent="0.3">
      <c r="A8" s="130" t="s">
        <v>58</v>
      </c>
      <c r="B8" s="130"/>
      <c r="C8" s="130"/>
      <c r="D8" s="130"/>
      <c r="E8" s="130"/>
      <c r="F8" s="130"/>
      <c r="G8" s="124"/>
      <c r="H8" s="124"/>
      <c r="I8" s="125"/>
      <c r="J8" s="130"/>
      <c r="K8" s="130"/>
      <c r="L8" s="130"/>
      <c r="M8" s="65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66"/>
      <c r="BV8" s="66"/>
      <c r="BW8" s="66"/>
      <c r="BX8" s="66"/>
      <c r="BY8" s="66"/>
      <c r="BZ8" s="66"/>
      <c r="CA8" s="66"/>
      <c r="CB8" s="66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66"/>
      <c r="CT8" s="66"/>
      <c r="CU8" s="66"/>
      <c r="CV8" s="66"/>
      <c r="CW8" s="66"/>
      <c r="CX8" s="66"/>
      <c r="CY8" s="66"/>
      <c r="CZ8" s="66"/>
      <c r="DA8" s="66"/>
      <c r="DB8" s="66"/>
      <c r="DC8" s="66"/>
      <c r="DD8" s="66"/>
      <c r="DE8" s="66"/>
      <c r="DF8" s="66"/>
      <c r="DG8" s="66"/>
      <c r="DH8" s="66"/>
      <c r="DI8" s="66"/>
      <c r="DJ8" s="66"/>
      <c r="DK8" s="66"/>
      <c r="DL8" s="66"/>
      <c r="DM8" s="66"/>
      <c r="DN8" s="66"/>
      <c r="DO8" s="66"/>
      <c r="DP8" s="66"/>
      <c r="DQ8" s="66"/>
      <c r="DR8" s="66"/>
      <c r="DS8" s="66"/>
      <c r="DT8" s="66"/>
      <c r="DU8" s="66"/>
      <c r="DV8" s="66"/>
      <c r="DW8" s="66"/>
      <c r="DX8" s="66"/>
      <c r="DY8" s="66"/>
      <c r="DZ8" s="66"/>
      <c r="EA8" s="66"/>
      <c r="EB8" s="66"/>
      <c r="EC8" s="66"/>
      <c r="ED8" s="66"/>
      <c r="EE8" s="66"/>
      <c r="EF8" s="66"/>
      <c r="EG8" s="66"/>
      <c r="EH8" s="66"/>
      <c r="EI8" s="66"/>
      <c r="EJ8" s="66"/>
      <c r="EK8" s="66"/>
      <c r="EL8" s="66"/>
      <c r="EM8" s="66"/>
      <c r="EN8" s="66"/>
      <c r="EO8" s="66"/>
      <c r="EP8" s="66"/>
      <c r="EQ8" s="66"/>
      <c r="ER8" s="66"/>
      <c r="ES8" s="66"/>
      <c r="ET8" s="66"/>
      <c r="EU8" s="66"/>
      <c r="EV8" s="66"/>
      <c r="EW8" s="66"/>
      <c r="EX8" s="66"/>
      <c r="EY8" s="66"/>
      <c r="EZ8" s="66"/>
      <c r="FA8" s="66"/>
      <c r="FB8" s="66"/>
      <c r="FC8" s="66"/>
      <c r="FD8" s="66"/>
      <c r="FE8" s="66"/>
      <c r="FF8" s="66"/>
      <c r="FG8" s="66"/>
      <c r="FH8" s="66"/>
      <c r="FI8" s="66"/>
      <c r="FJ8" s="66"/>
      <c r="FK8" s="66"/>
      <c r="FL8" s="66"/>
      <c r="FM8" s="66"/>
      <c r="FN8" s="66"/>
      <c r="FO8" s="66"/>
      <c r="FP8" s="66"/>
      <c r="FQ8" s="66"/>
      <c r="FR8" s="66"/>
      <c r="FS8" s="66"/>
      <c r="FT8" s="66"/>
      <c r="FU8" s="66"/>
      <c r="FV8" s="66"/>
      <c r="FW8" s="66"/>
      <c r="FX8" s="66"/>
      <c r="FY8" s="66"/>
      <c r="FZ8" s="66"/>
      <c r="GA8" s="66"/>
      <c r="GB8" s="66"/>
      <c r="GC8" s="66"/>
      <c r="GD8" s="66"/>
      <c r="GE8" s="66"/>
      <c r="GF8" s="66"/>
      <c r="GG8" s="66"/>
      <c r="GH8" s="66"/>
      <c r="GI8" s="66"/>
      <c r="GJ8" s="66"/>
      <c r="GK8" s="66"/>
      <c r="GL8" s="66"/>
      <c r="GM8" s="66"/>
      <c r="GN8" s="66"/>
      <c r="GO8" s="66"/>
      <c r="GP8" s="66"/>
      <c r="GQ8" s="66"/>
      <c r="GR8" s="66"/>
      <c r="GS8" s="66"/>
      <c r="GT8" s="66"/>
      <c r="GU8" s="66"/>
      <c r="GV8" s="66"/>
      <c r="GW8" s="66"/>
      <c r="GX8" s="66"/>
      <c r="GY8" s="66"/>
      <c r="GZ8" s="66"/>
      <c r="HA8" s="66"/>
      <c r="HB8" s="66"/>
      <c r="HC8" s="66"/>
      <c r="HD8" s="66"/>
      <c r="HE8" s="66"/>
      <c r="HF8" s="66"/>
      <c r="HG8" s="66"/>
      <c r="HH8" s="66"/>
      <c r="HI8" s="66"/>
      <c r="HJ8" s="66"/>
      <c r="HK8" s="66"/>
      <c r="HL8" s="66"/>
      <c r="HM8" s="66"/>
      <c r="HN8" s="66"/>
      <c r="HO8" s="66"/>
      <c r="HP8" s="66"/>
      <c r="HQ8" s="66"/>
      <c r="HR8" s="66"/>
      <c r="HS8" s="66"/>
      <c r="HT8" s="66"/>
      <c r="HU8" s="66"/>
      <c r="HV8" s="66"/>
      <c r="HW8" s="66"/>
      <c r="HX8" s="66"/>
      <c r="HY8" s="66"/>
      <c r="HZ8" s="66"/>
      <c r="IA8" s="66"/>
      <c r="IB8" s="66"/>
      <c r="IC8" s="66"/>
      <c r="ID8" s="66"/>
      <c r="IE8" s="66"/>
      <c r="IF8" s="66"/>
      <c r="IG8" s="66"/>
      <c r="IH8" s="66"/>
      <c r="II8" s="66"/>
      <c r="IJ8" s="66"/>
      <c r="IK8" s="66"/>
      <c r="IL8" s="66"/>
      <c r="IM8" s="66"/>
      <c r="IN8" s="66"/>
      <c r="IO8" s="66"/>
      <c r="IP8" s="66"/>
      <c r="IQ8" s="66"/>
      <c r="IR8" s="66"/>
      <c r="IS8" s="66"/>
      <c r="IT8" s="66"/>
      <c r="IU8" s="66"/>
      <c r="IV8" s="66"/>
      <c r="IW8" s="66"/>
      <c r="IX8" s="66"/>
      <c r="IY8" s="66"/>
      <c r="IZ8" s="66"/>
      <c r="JA8" s="66"/>
      <c r="JB8" s="66"/>
      <c r="JC8" s="66"/>
      <c r="JD8" s="66"/>
      <c r="JE8" s="66"/>
      <c r="JF8" s="66"/>
      <c r="JG8" s="66"/>
      <c r="JH8" s="66"/>
      <c r="JI8" s="66"/>
      <c r="JJ8" s="66"/>
      <c r="JK8" s="66"/>
      <c r="JL8" s="67"/>
    </row>
    <row r="9" spans="1:272" ht="16.95" customHeight="1" x14ac:dyDescent="0.3">
      <c r="B9" s="47" t="s">
        <v>59</v>
      </c>
      <c r="C9" s="48" t="s">
        <v>60</v>
      </c>
      <c r="D9" s="49">
        <f>WORKDAY(F7,1,Feriados_BO_2026)</f>
        <v>46120</v>
      </c>
      <c r="E9" s="51">
        <v>8</v>
      </c>
      <c r="F9" s="50">
        <f>WORKDAY(D9,E9-1,Feriados_BO_2026)</f>
        <v>46129</v>
      </c>
      <c r="G9" s="68">
        <v>46122</v>
      </c>
      <c r="H9" s="68">
        <v>46127</v>
      </c>
      <c r="I9" s="84">
        <f ca="1">IF($H9&lt;&gt;"",SIGN($H9-$F9)*(NETWORKDAYS(MIN($F9,$H9),MAX($F9,$H9),Feriados_BO_2026)-1),IF($G9&lt;&gt;"",IF(TODAY()&gt;$F9,NETWORKDAYS($F9,TODAY(),Feriados_BO_2026)-1,0),IF(TODAY()&gt;$D9,NETWORKDAYS($D9,TODAY(),Feriados_BO_2026)-1,0)))</f>
        <v>-2</v>
      </c>
      <c r="J9" s="52">
        <v>4.2000000000000003E-2</v>
      </c>
      <c r="K9" s="53">
        <f>SUM(J$5:J9)</f>
        <v>9.4E-2</v>
      </c>
      <c r="L9" s="55" t="s">
        <v>54</v>
      </c>
      <c r="M9" s="56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7"/>
      <c r="BO9" s="57"/>
      <c r="BP9" s="57"/>
      <c r="BQ9" s="57"/>
      <c r="BR9" s="57"/>
      <c r="BS9" s="57"/>
      <c r="BT9" s="57"/>
      <c r="BU9" s="57"/>
      <c r="BV9" s="57"/>
      <c r="BW9" s="57"/>
      <c r="BX9" s="57"/>
      <c r="BY9" s="57"/>
      <c r="BZ9" s="57"/>
      <c r="CA9" s="57"/>
      <c r="CB9" s="57"/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7"/>
      <c r="CO9" s="57"/>
      <c r="CP9" s="57"/>
      <c r="CQ9" s="57"/>
      <c r="CR9" s="57"/>
      <c r="CS9" s="57"/>
      <c r="CT9" s="57"/>
      <c r="CU9" s="57"/>
      <c r="CV9" s="57"/>
      <c r="CW9" s="57"/>
      <c r="CX9" s="57"/>
      <c r="CY9" s="57"/>
      <c r="CZ9" s="57"/>
      <c r="DA9" s="57"/>
      <c r="DB9" s="57"/>
      <c r="DC9" s="57"/>
      <c r="DD9" s="57"/>
      <c r="DE9" s="57"/>
      <c r="DF9" s="57"/>
      <c r="DG9" s="57"/>
      <c r="DH9" s="57"/>
      <c r="DI9" s="57"/>
      <c r="DJ9" s="57"/>
      <c r="DK9" s="57"/>
      <c r="DL9" s="57"/>
      <c r="DM9" s="57"/>
      <c r="DN9" s="57"/>
      <c r="DO9" s="57"/>
      <c r="DP9" s="57"/>
      <c r="DQ9" s="57"/>
      <c r="DR9" s="57"/>
      <c r="DS9" s="57"/>
      <c r="DT9" s="57"/>
      <c r="DU9" s="57"/>
      <c r="DV9" s="57"/>
      <c r="DW9" s="57"/>
      <c r="DX9" s="57"/>
      <c r="DY9" s="57"/>
      <c r="DZ9" s="57"/>
      <c r="EA9" s="57"/>
      <c r="EB9" s="57"/>
      <c r="EC9" s="57"/>
      <c r="ED9" s="57"/>
      <c r="EE9" s="57"/>
      <c r="EF9" s="57"/>
      <c r="EG9" s="57"/>
      <c r="EH9" s="57"/>
      <c r="EI9" s="57"/>
      <c r="EJ9" s="57"/>
      <c r="EK9" s="57"/>
      <c r="EL9" s="57"/>
      <c r="EM9" s="57"/>
      <c r="EN9" s="57"/>
      <c r="EO9" s="57"/>
      <c r="EP9" s="57"/>
      <c r="EQ9" s="57"/>
      <c r="ER9" s="57"/>
      <c r="ES9" s="57"/>
      <c r="ET9" s="57"/>
      <c r="EU9" s="57"/>
      <c r="EV9" s="57"/>
      <c r="EW9" s="57"/>
      <c r="EX9" s="57"/>
      <c r="EY9" s="57"/>
      <c r="EZ9" s="57"/>
      <c r="FA9" s="57"/>
      <c r="FB9" s="57"/>
      <c r="FC9" s="57"/>
      <c r="FD9" s="57"/>
      <c r="FE9" s="57"/>
      <c r="FF9" s="57"/>
      <c r="FG9" s="57"/>
      <c r="FH9" s="57"/>
      <c r="FI9" s="57"/>
      <c r="FJ9" s="57"/>
      <c r="FK9" s="57"/>
      <c r="FL9" s="57"/>
      <c r="FM9" s="57"/>
      <c r="FN9" s="57"/>
      <c r="FO9" s="57"/>
      <c r="FP9" s="57"/>
      <c r="FQ9" s="57"/>
      <c r="FR9" s="57"/>
      <c r="FS9" s="57"/>
      <c r="FT9" s="57"/>
      <c r="FU9" s="57"/>
      <c r="FV9" s="57"/>
      <c r="FW9" s="57"/>
      <c r="FX9" s="57"/>
      <c r="FY9" s="57"/>
      <c r="FZ9" s="57"/>
      <c r="GA9" s="57"/>
      <c r="GB9" s="57"/>
      <c r="GC9" s="57"/>
      <c r="GD9" s="57"/>
      <c r="GE9" s="57"/>
      <c r="GF9" s="57"/>
      <c r="GG9" s="57"/>
      <c r="GH9" s="57"/>
      <c r="GI9" s="57"/>
      <c r="GJ9" s="57"/>
      <c r="GK9" s="57"/>
      <c r="GL9" s="57"/>
      <c r="GM9" s="57"/>
      <c r="GN9" s="57"/>
      <c r="GO9" s="57"/>
      <c r="GP9" s="57"/>
      <c r="GQ9" s="57"/>
      <c r="GR9" s="57"/>
      <c r="GS9" s="57"/>
      <c r="GT9" s="57"/>
      <c r="GU9" s="57"/>
      <c r="GV9" s="57"/>
      <c r="GW9" s="57"/>
      <c r="GX9" s="57"/>
      <c r="GY9" s="57"/>
      <c r="GZ9" s="57"/>
      <c r="HA9" s="57"/>
      <c r="HB9" s="57"/>
      <c r="HC9" s="57"/>
      <c r="HD9" s="57"/>
      <c r="HE9" s="57"/>
      <c r="HF9" s="57"/>
      <c r="HG9" s="57"/>
      <c r="HH9" s="57"/>
      <c r="HI9" s="57"/>
      <c r="HJ9" s="57"/>
      <c r="HK9" s="57"/>
      <c r="HL9" s="57"/>
      <c r="HM9" s="57"/>
      <c r="HN9" s="57"/>
      <c r="HO9" s="57"/>
      <c r="HP9" s="57"/>
      <c r="HQ9" s="57"/>
      <c r="HR9" s="57"/>
      <c r="HS9" s="57"/>
      <c r="HT9" s="57"/>
      <c r="HU9" s="57"/>
      <c r="HV9" s="57"/>
      <c r="HW9" s="57"/>
      <c r="HX9" s="57"/>
      <c r="HY9" s="57"/>
      <c r="HZ9" s="57"/>
      <c r="IA9" s="57"/>
      <c r="IB9" s="57"/>
      <c r="IC9" s="57"/>
      <c r="ID9" s="57"/>
      <c r="IE9" s="57"/>
      <c r="IF9" s="57"/>
      <c r="IG9" s="57"/>
      <c r="IH9" s="57"/>
      <c r="II9" s="57"/>
      <c r="IJ9" s="57"/>
      <c r="IK9" s="57"/>
      <c r="IL9" s="57"/>
      <c r="IM9" s="57"/>
      <c r="IN9" s="57"/>
      <c r="IO9" s="57"/>
      <c r="IP9" s="57"/>
      <c r="IQ9" s="57"/>
      <c r="IR9" s="57"/>
      <c r="IS9" s="57"/>
      <c r="IT9" s="57"/>
      <c r="IU9" s="57"/>
      <c r="IV9" s="57"/>
      <c r="IW9" s="57"/>
      <c r="IX9" s="57"/>
      <c r="IY9" s="57"/>
      <c r="IZ9" s="57"/>
      <c r="JA9" s="57"/>
      <c r="JB9" s="57"/>
      <c r="JC9" s="57"/>
      <c r="JD9" s="57"/>
      <c r="JE9" s="57"/>
      <c r="JF9" s="57"/>
      <c r="JG9" s="57"/>
      <c r="JH9" s="57"/>
      <c r="JI9" s="57"/>
      <c r="JJ9" s="57"/>
      <c r="JK9" s="57"/>
      <c r="JL9" s="58"/>
    </row>
    <row r="10" spans="1:272" ht="16.95" customHeight="1" x14ac:dyDescent="0.3">
      <c r="B10" s="47" t="s">
        <v>61</v>
      </c>
      <c r="C10" s="48" t="s">
        <v>60</v>
      </c>
      <c r="D10" s="49">
        <f>WORKDAY(F9,1,Feriados_BO_2026)</f>
        <v>46132</v>
      </c>
      <c r="E10" s="51">
        <v>11</v>
      </c>
      <c r="F10" s="50">
        <f>WORKDAY(D10,E10-1,Feriados_BO_2026)</f>
        <v>46147</v>
      </c>
      <c r="G10" s="68">
        <v>46132</v>
      </c>
      <c r="H10" s="68">
        <v>46146</v>
      </c>
      <c r="I10" s="84">
        <f ca="1">IF($H10&lt;&gt;"",SIGN($H10-$F10)*(NETWORKDAYS(MIN($F10,$H10),MAX($F10,$H10),Feriados_BO_2026)-1),IF($G10&lt;&gt;"",IF(TODAY()&gt;$F10,NETWORKDAYS($F10,TODAY(),Feriados_BO_2026)-1,0),IF(TODAY()&gt;$D10,NETWORKDAYS($D10,TODAY(),Feriados_BO_2026)-1,0)))</f>
        <v>-1</v>
      </c>
      <c r="J10" s="52">
        <v>3.1E-2</v>
      </c>
      <c r="K10" s="53">
        <f>SUM(J$5:J10)</f>
        <v>0.125</v>
      </c>
      <c r="L10" s="55" t="s">
        <v>54</v>
      </c>
      <c r="M10" s="56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57"/>
      <c r="BF10" s="57"/>
      <c r="BG10" s="57"/>
      <c r="BH10" s="57"/>
      <c r="BI10" s="57"/>
      <c r="BJ10" s="57"/>
      <c r="BK10" s="57"/>
      <c r="BL10" s="57"/>
      <c r="BM10" s="57"/>
      <c r="BN10" s="57"/>
      <c r="BO10" s="57"/>
      <c r="BP10" s="57"/>
      <c r="BQ10" s="57"/>
      <c r="BR10" s="57"/>
      <c r="BS10" s="57"/>
      <c r="BT10" s="57"/>
      <c r="BU10" s="57"/>
      <c r="BV10" s="57"/>
      <c r="BW10" s="57"/>
      <c r="BX10" s="57"/>
      <c r="BY10" s="57"/>
      <c r="BZ10" s="57"/>
      <c r="CA10" s="57"/>
      <c r="CB10" s="57"/>
      <c r="CC10" s="57"/>
      <c r="CD10" s="57"/>
      <c r="CE10" s="57"/>
      <c r="CF10" s="57"/>
      <c r="CG10" s="57"/>
      <c r="CH10" s="57"/>
      <c r="CI10" s="57"/>
      <c r="CJ10" s="57"/>
      <c r="CK10" s="57"/>
      <c r="CL10" s="57"/>
      <c r="CM10" s="57"/>
      <c r="CN10" s="57"/>
      <c r="CO10" s="57"/>
      <c r="CP10" s="57"/>
      <c r="CQ10" s="57"/>
      <c r="CR10" s="57"/>
      <c r="CS10" s="57"/>
      <c r="CT10" s="57"/>
      <c r="CU10" s="57"/>
      <c r="CV10" s="57"/>
      <c r="CW10" s="57"/>
      <c r="CX10" s="57"/>
      <c r="CY10" s="57"/>
      <c r="CZ10" s="57"/>
      <c r="DA10" s="57"/>
      <c r="DB10" s="57"/>
      <c r="DC10" s="57"/>
      <c r="DD10" s="57"/>
      <c r="DE10" s="57"/>
      <c r="DF10" s="57"/>
      <c r="DG10" s="57"/>
      <c r="DH10" s="57"/>
      <c r="DI10" s="57"/>
      <c r="DJ10" s="57"/>
      <c r="DK10" s="57"/>
      <c r="DL10" s="57"/>
      <c r="DM10" s="57"/>
      <c r="DN10" s="57"/>
      <c r="DO10" s="57"/>
      <c r="DP10" s="57"/>
      <c r="DQ10" s="57"/>
      <c r="DR10" s="57"/>
      <c r="DS10" s="57"/>
      <c r="DT10" s="57"/>
      <c r="DU10" s="57"/>
      <c r="DV10" s="57"/>
      <c r="DW10" s="57"/>
      <c r="DX10" s="57"/>
      <c r="DY10" s="57"/>
      <c r="DZ10" s="57"/>
      <c r="EA10" s="57"/>
      <c r="EB10" s="57"/>
      <c r="EC10" s="57"/>
      <c r="ED10" s="57"/>
      <c r="EE10" s="57"/>
      <c r="EF10" s="57"/>
      <c r="EG10" s="57"/>
      <c r="EH10" s="57"/>
      <c r="EI10" s="57"/>
      <c r="EJ10" s="57"/>
      <c r="EK10" s="57"/>
      <c r="EL10" s="57"/>
      <c r="EM10" s="57"/>
      <c r="EN10" s="57"/>
      <c r="EO10" s="57"/>
      <c r="EP10" s="57"/>
      <c r="EQ10" s="57"/>
      <c r="ER10" s="57"/>
      <c r="ES10" s="57"/>
      <c r="ET10" s="57"/>
      <c r="EU10" s="57"/>
      <c r="EV10" s="57"/>
      <c r="EW10" s="57"/>
      <c r="EX10" s="57"/>
      <c r="EY10" s="57"/>
      <c r="EZ10" s="57"/>
      <c r="FA10" s="57"/>
      <c r="FB10" s="57"/>
      <c r="FC10" s="57"/>
      <c r="FD10" s="57"/>
      <c r="FE10" s="57"/>
      <c r="FF10" s="57"/>
      <c r="FG10" s="57"/>
      <c r="FH10" s="57"/>
      <c r="FI10" s="57"/>
      <c r="FJ10" s="57"/>
      <c r="FK10" s="57"/>
      <c r="FL10" s="57"/>
      <c r="FM10" s="57"/>
      <c r="FN10" s="57"/>
      <c r="FO10" s="57"/>
      <c r="FP10" s="57"/>
      <c r="FQ10" s="57"/>
      <c r="FR10" s="57"/>
      <c r="FS10" s="57"/>
      <c r="FT10" s="57"/>
      <c r="FU10" s="57"/>
      <c r="FV10" s="57"/>
      <c r="FW10" s="57"/>
      <c r="FX10" s="57"/>
      <c r="FY10" s="57"/>
      <c r="FZ10" s="57"/>
      <c r="GA10" s="57"/>
      <c r="GB10" s="57"/>
      <c r="GC10" s="57"/>
      <c r="GD10" s="57"/>
      <c r="GE10" s="57"/>
      <c r="GF10" s="57"/>
      <c r="GG10" s="57"/>
      <c r="GH10" s="57"/>
      <c r="GI10" s="57"/>
      <c r="GJ10" s="57"/>
      <c r="GK10" s="57"/>
      <c r="GL10" s="57"/>
      <c r="GM10" s="57"/>
      <c r="GN10" s="57"/>
      <c r="GO10" s="57"/>
      <c r="GP10" s="57"/>
      <c r="GQ10" s="57"/>
      <c r="GR10" s="57"/>
      <c r="GS10" s="57"/>
      <c r="GT10" s="57"/>
      <c r="GU10" s="57"/>
      <c r="GV10" s="57"/>
      <c r="GW10" s="57"/>
      <c r="GX10" s="57"/>
      <c r="GY10" s="57"/>
      <c r="GZ10" s="57"/>
      <c r="HA10" s="57"/>
      <c r="HB10" s="57"/>
      <c r="HC10" s="57"/>
      <c r="HD10" s="57"/>
      <c r="HE10" s="57"/>
      <c r="HF10" s="57"/>
      <c r="HG10" s="57"/>
      <c r="HH10" s="57"/>
      <c r="HI10" s="57"/>
      <c r="HJ10" s="57"/>
      <c r="HK10" s="57"/>
      <c r="HL10" s="57"/>
      <c r="HM10" s="57"/>
      <c r="HN10" s="57"/>
      <c r="HO10" s="57"/>
      <c r="HP10" s="57"/>
      <c r="HQ10" s="57"/>
      <c r="HR10" s="57"/>
      <c r="HS10" s="57"/>
      <c r="HT10" s="57"/>
      <c r="HU10" s="57"/>
      <c r="HV10" s="57"/>
      <c r="HW10" s="57"/>
      <c r="HX10" s="57"/>
      <c r="HY10" s="57"/>
      <c r="HZ10" s="57"/>
      <c r="IA10" s="57"/>
      <c r="IB10" s="57"/>
      <c r="IC10" s="57"/>
      <c r="ID10" s="57"/>
      <c r="IE10" s="57"/>
      <c r="IF10" s="57"/>
      <c r="IG10" s="57"/>
      <c r="IH10" s="57"/>
      <c r="II10" s="57"/>
      <c r="IJ10" s="57"/>
      <c r="IK10" s="57"/>
      <c r="IL10" s="57"/>
      <c r="IM10" s="57"/>
      <c r="IN10" s="57"/>
      <c r="IO10" s="57"/>
      <c r="IP10" s="57"/>
      <c r="IQ10" s="57"/>
      <c r="IR10" s="57"/>
      <c r="IS10" s="57"/>
      <c r="IT10" s="57"/>
      <c r="IU10" s="57"/>
      <c r="IV10" s="57"/>
      <c r="IW10" s="57"/>
      <c r="IX10" s="57"/>
      <c r="IY10" s="57"/>
      <c r="IZ10" s="57"/>
      <c r="JA10" s="57"/>
      <c r="JB10" s="57"/>
      <c r="JC10" s="57"/>
      <c r="JD10" s="57"/>
      <c r="JE10" s="57"/>
      <c r="JF10" s="57"/>
      <c r="JG10" s="57"/>
      <c r="JH10" s="57"/>
      <c r="JI10" s="57"/>
      <c r="JJ10" s="57"/>
      <c r="JK10" s="57"/>
      <c r="JL10" s="58"/>
    </row>
    <row r="11" spans="1:272" ht="16.95" customHeight="1" x14ac:dyDescent="0.3">
      <c r="B11" s="47" t="s">
        <v>62</v>
      </c>
      <c r="C11" s="48" t="s">
        <v>63</v>
      </c>
      <c r="D11" s="49">
        <f>WORKDAY(F10,1,Feriados_BO_2026)</f>
        <v>46148</v>
      </c>
      <c r="E11" s="51">
        <v>1</v>
      </c>
      <c r="F11" s="50">
        <f>WORKDAY(D11,E11-1,Feriados_BO_2026)</f>
        <v>46148</v>
      </c>
      <c r="G11" s="68">
        <v>46148</v>
      </c>
      <c r="H11" s="68">
        <v>46148</v>
      </c>
      <c r="I11" s="84">
        <f ca="1">IF($H11&lt;&gt;"",SIGN($H11-$F11)*(NETWORKDAYS(MIN($F11,$H11),MAX($F11,$H11),Feriados_BO_2026)-1),IF($G11&lt;&gt;"",IF(TODAY()&gt;$F11,NETWORKDAYS($F11,TODAY(),Feriados_BO_2026)-1,0),IF(TODAY()&gt;$D11,NETWORKDAYS($D11,TODAY(),Feriados_BO_2026)-1,0)))</f>
        <v>0</v>
      </c>
      <c r="J11" s="52">
        <v>3.1E-2</v>
      </c>
      <c r="K11" s="53">
        <f>SUM(J$5:J11)</f>
        <v>0.156</v>
      </c>
      <c r="L11" s="55" t="s">
        <v>54</v>
      </c>
      <c r="M11" s="56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57"/>
      <c r="BF11" s="57"/>
      <c r="BG11" s="57"/>
      <c r="BH11" s="57"/>
      <c r="BI11" s="57"/>
      <c r="BJ11" s="57"/>
      <c r="BK11" s="57"/>
      <c r="BL11" s="57"/>
      <c r="BM11" s="57"/>
      <c r="BN11" s="57"/>
      <c r="BO11" s="57"/>
      <c r="BP11" s="57"/>
      <c r="BQ11" s="57"/>
      <c r="BR11" s="57"/>
      <c r="BS11" s="57"/>
      <c r="BT11" s="57"/>
      <c r="BU11" s="57"/>
      <c r="BV11" s="57"/>
      <c r="BW11" s="57"/>
      <c r="BX11" s="57"/>
      <c r="BY11" s="57"/>
      <c r="BZ11" s="57"/>
      <c r="CA11" s="57"/>
      <c r="CB11" s="57"/>
      <c r="CC11" s="57"/>
      <c r="CD11" s="57"/>
      <c r="CE11" s="57"/>
      <c r="CF11" s="57"/>
      <c r="CG11" s="57"/>
      <c r="CH11" s="57"/>
      <c r="CI11" s="57"/>
      <c r="CJ11" s="57"/>
      <c r="CK11" s="57"/>
      <c r="CL11" s="57"/>
      <c r="CM11" s="57"/>
      <c r="CN11" s="57"/>
      <c r="CO11" s="57"/>
      <c r="CP11" s="57"/>
      <c r="CQ11" s="57"/>
      <c r="CR11" s="57"/>
      <c r="CS11" s="57"/>
      <c r="CT11" s="57"/>
      <c r="CU11" s="57"/>
      <c r="CV11" s="57"/>
      <c r="CW11" s="57"/>
      <c r="CX11" s="57"/>
      <c r="CY11" s="57"/>
      <c r="CZ11" s="57"/>
      <c r="DA11" s="57"/>
      <c r="DB11" s="57"/>
      <c r="DC11" s="57"/>
      <c r="DD11" s="57"/>
      <c r="DE11" s="57"/>
      <c r="DF11" s="57"/>
      <c r="DG11" s="57"/>
      <c r="DH11" s="57"/>
      <c r="DI11" s="57"/>
      <c r="DJ11" s="57"/>
      <c r="DK11" s="57"/>
      <c r="DL11" s="57"/>
      <c r="DM11" s="57"/>
      <c r="DN11" s="57"/>
      <c r="DO11" s="57"/>
      <c r="DP11" s="57"/>
      <c r="DQ11" s="57"/>
      <c r="DR11" s="57"/>
      <c r="DS11" s="57"/>
      <c r="DT11" s="57"/>
      <c r="DU11" s="57"/>
      <c r="DV11" s="57"/>
      <c r="DW11" s="57"/>
      <c r="DX11" s="57"/>
      <c r="DY11" s="57"/>
      <c r="DZ11" s="57"/>
      <c r="EA11" s="57"/>
      <c r="EB11" s="57"/>
      <c r="EC11" s="57"/>
      <c r="ED11" s="57"/>
      <c r="EE11" s="57"/>
      <c r="EF11" s="57"/>
      <c r="EG11" s="57"/>
      <c r="EH11" s="57"/>
      <c r="EI11" s="57"/>
      <c r="EJ11" s="57"/>
      <c r="EK11" s="57"/>
      <c r="EL11" s="57"/>
      <c r="EM11" s="57"/>
      <c r="EN11" s="57"/>
      <c r="EO11" s="57"/>
      <c r="EP11" s="57"/>
      <c r="EQ11" s="57"/>
      <c r="ER11" s="57"/>
      <c r="ES11" s="57"/>
      <c r="ET11" s="57"/>
      <c r="EU11" s="57"/>
      <c r="EV11" s="57"/>
      <c r="EW11" s="57"/>
      <c r="EX11" s="57"/>
      <c r="EY11" s="57"/>
      <c r="EZ11" s="57"/>
      <c r="FA11" s="57"/>
      <c r="FB11" s="57"/>
      <c r="FC11" s="57"/>
      <c r="FD11" s="57"/>
      <c r="FE11" s="57"/>
      <c r="FF11" s="57"/>
      <c r="FG11" s="57"/>
      <c r="FH11" s="57"/>
      <c r="FI11" s="57"/>
      <c r="FJ11" s="57"/>
      <c r="FK11" s="57"/>
      <c r="FL11" s="57"/>
      <c r="FM11" s="57"/>
      <c r="FN11" s="57"/>
      <c r="FO11" s="57"/>
      <c r="FP11" s="57"/>
      <c r="FQ11" s="57"/>
      <c r="FR11" s="57"/>
      <c r="FS11" s="57"/>
      <c r="FT11" s="57"/>
      <c r="FU11" s="57"/>
      <c r="FV11" s="57"/>
      <c r="FW11" s="57"/>
      <c r="FX11" s="57"/>
      <c r="FY11" s="57"/>
      <c r="FZ11" s="57"/>
      <c r="GA11" s="57"/>
      <c r="GB11" s="57"/>
      <c r="GC11" s="57"/>
      <c r="GD11" s="57"/>
      <c r="GE11" s="57"/>
      <c r="GF11" s="57"/>
      <c r="GG11" s="57"/>
      <c r="GH11" s="57"/>
      <c r="GI11" s="57"/>
      <c r="GJ11" s="57"/>
      <c r="GK11" s="57"/>
      <c r="GL11" s="57"/>
      <c r="GM11" s="57"/>
      <c r="GN11" s="57"/>
      <c r="GO11" s="57"/>
      <c r="GP11" s="57"/>
      <c r="GQ11" s="57"/>
      <c r="GR11" s="57"/>
      <c r="GS11" s="57"/>
      <c r="GT11" s="57"/>
      <c r="GU11" s="57"/>
      <c r="GV11" s="57"/>
      <c r="GW11" s="57"/>
      <c r="GX11" s="57"/>
      <c r="GY11" s="57"/>
      <c r="GZ11" s="57"/>
      <c r="HA11" s="57"/>
      <c r="HB11" s="57"/>
      <c r="HC11" s="57"/>
      <c r="HD11" s="57"/>
      <c r="HE11" s="57"/>
      <c r="HF11" s="57"/>
      <c r="HG11" s="57"/>
      <c r="HH11" s="57"/>
      <c r="HI11" s="57"/>
      <c r="HJ11" s="57"/>
      <c r="HK11" s="57"/>
      <c r="HL11" s="57"/>
      <c r="HM11" s="57"/>
      <c r="HN11" s="57"/>
      <c r="HO11" s="57"/>
      <c r="HP11" s="57"/>
      <c r="HQ11" s="57"/>
      <c r="HR11" s="57"/>
      <c r="HS11" s="57"/>
      <c r="HT11" s="57"/>
      <c r="HU11" s="57"/>
      <c r="HV11" s="57"/>
      <c r="HW11" s="57"/>
      <c r="HX11" s="57"/>
      <c r="HY11" s="57"/>
      <c r="HZ11" s="57"/>
      <c r="IA11" s="57"/>
      <c r="IB11" s="57"/>
      <c r="IC11" s="57"/>
      <c r="ID11" s="57"/>
      <c r="IE11" s="57"/>
      <c r="IF11" s="57"/>
      <c r="IG11" s="57"/>
      <c r="IH11" s="57"/>
      <c r="II11" s="57"/>
      <c r="IJ11" s="57"/>
      <c r="IK11" s="57"/>
      <c r="IL11" s="57"/>
      <c r="IM11" s="57"/>
      <c r="IN11" s="57"/>
      <c r="IO11" s="57"/>
      <c r="IP11" s="57"/>
      <c r="IQ11" s="57"/>
      <c r="IR11" s="57"/>
      <c r="IS11" s="57"/>
      <c r="IT11" s="57"/>
      <c r="IU11" s="57"/>
      <c r="IV11" s="57"/>
      <c r="IW11" s="57"/>
      <c r="IX11" s="57"/>
      <c r="IY11" s="57"/>
      <c r="IZ11" s="57"/>
      <c r="JA11" s="57"/>
      <c r="JB11" s="57"/>
      <c r="JC11" s="57"/>
      <c r="JD11" s="57"/>
      <c r="JE11" s="57"/>
      <c r="JF11" s="57"/>
      <c r="JG11" s="57"/>
      <c r="JH11" s="57"/>
      <c r="JI11" s="57"/>
      <c r="JJ11" s="57"/>
      <c r="JK11" s="57"/>
      <c r="JL11" s="58"/>
    </row>
    <row r="12" spans="1:272" ht="16.95" customHeight="1" x14ac:dyDescent="0.3">
      <c r="A12" s="131" t="s">
        <v>64</v>
      </c>
      <c r="B12" s="131"/>
      <c r="C12" s="131"/>
      <c r="D12" s="131"/>
      <c r="E12" s="131"/>
      <c r="F12" s="131"/>
      <c r="G12" s="124"/>
      <c r="H12" s="124"/>
      <c r="I12" s="125"/>
      <c r="J12" s="131"/>
      <c r="K12" s="131"/>
      <c r="L12" s="131"/>
      <c r="M12" s="65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66"/>
      <c r="BV12" s="66"/>
      <c r="BW12" s="66"/>
      <c r="BX12" s="66"/>
      <c r="BY12" s="66"/>
      <c r="BZ12" s="66"/>
      <c r="CA12" s="66"/>
      <c r="CB12" s="66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66"/>
      <c r="CT12" s="66"/>
      <c r="CU12" s="66"/>
      <c r="CV12" s="66"/>
      <c r="CW12" s="66"/>
      <c r="CX12" s="66"/>
      <c r="CY12" s="66"/>
      <c r="CZ12" s="66"/>
      <c r="DA12" s="66"/>
      <c r="DB12" s="66"/>
      <c r="DC12" s="66"/>
      <c r="DD12" s="66"/>
      <c r="DE12" s="66"/>
      <c r="DF12" s="66"/>
      <c r="DG12" s="66"/>
      <c r="DH12" s="66"/>
      <c r="DI12" s="66"/>
      <c r="DJ12" s="66"/>
      <c r="DK12" s="66"/>
      <c r="DL12" s="66"/>
      <c r="DM12" s="66"/>
      <c r="DN12" s="66"/>
      <c r="DO12" s="66"/>
      <c r="DP12" s="66"/>
      <c r="DQ12" s="66"/>
      <c r="DR12" s="66"/>
      <c r="DS12" s="66"/>
      <c r="DT12" s="66"/>
      <c r="DU12" s="66"/>
      <c r="DV12" s="66"/>
      <c r="DW12" s="66"/>
      <c r="DX12" s="66"/>
      <c r="DY12" s="66"/>
      <c r="DZ12" s="66"/>
      <c r="EA12" s="66"/>
      <c r="EB12" s="66"/>
      <c r="EC12" s="66"/>
      <c r="ED12" s="66"/>
      <c r="EE12" s="66"/>
      <c r="EF12" s="66"/>
      <c r="EG12" s="66"/>
      <c r="EH12" s="66"/>
      <c r="EI12" s="66"/>
      <c r="EJ12" s="66"/>
      <c r="EK12" s="66"/>
      <c r="EL12" s="66"/>
      <c r="EM12" s="66"/>
      <c r="EN12" s="66"/>
      <c r="EO12" s="66"/>
      <c r="EP12" s="66"/>
      <c r="EQ12" s="66"/>
      <c r="ER12" s="66"/>
      <c r="ES12" s="66"/>
      <c r="ET12" s="66"/>
      <c r="EU12" s="66"/>
      <c r="EV12" s="66"/>
      <c r="EW12" s="66"/>
      <c r="EX12" s="66"/>
      <c r="EY12" s="66"/>
      <c r="EZ12" s="66"/>
      <c r="FA12" s="66"/>
      <c r="FB12" s="66"/>
      <c r="FC12" s="66"/>
      <c r="FD12" s="66"/>
      <c r="FE12" s="66"/>
      <c r="FF12" s="66"/>
      <c r="FG12" s="66"/>
      <c r="FH12" s="66"/>
      <c r="FI12" s="66"/>
      <c r="FJ12" s="66"/>
      <c r="FK12" s="66"/>
      <c r="FL12" s="66"/>
      <c r="FM12" s="66"/>
      <c r="FN12" s="66"/>
      <c r="FO12" s="66"/>
      <c r="FP12" s="66"/>
      <c r="FQ12" s="66"/>
      <c r="FR12" s="66"/>
      <c r="FS12" s="66"/>
      <c r="FT12" s="66"/>
      <c r="FU12" s="66"/>
      <c r="FV12" s="66"/>
      <c r="FW12" s="66"/>
      <c r="FX12" s="66"/>
      <c r="FY12" s="66"/>
      <c r="FZ12" s="66"/>
      <c r="GA12" s="66"/>
      <c r="GB12" s="66"/>
      <c r="GC12" s="66"/>
      <c r="GD12" s="66"/>
      <c r="GE12" s="66"/>
      <c r="GF12" s="66"/>
      <c r="GG12" s="66"/>
      <c r="GH12" s="66"/>
      <c r="GI12" s="66"/>
      <c r="GJ12" s="66"/>
      <c r="GK12" s="66"/>
      <c r="GL12" s="66"/>
      <c r="GM12" s="66"/>
      <c r="GN12" s="66"/>
      <c r="GO12" s="66"/>
      <c r="GP12" s="66"/>
      <c r="GQ12" s="66"/>
      <c r="GR12" s="66"/>
      <c r="GS12" s="66"/>
      <c r="GT12" s="66"/>
      <c r="GU12" s="66"/>
      <c r="GV12" s="66"/>
      <c r="GW12" s="66"/>
      <c r="GX12" s="66"/>
      <c r="GY12" s="66"/>
      <c r="GZ12" s="66"/>
      <c r="HA12" s="66"/>
      <c r="HB12" s="66"/>
      <c r="HC12" s="66"/>
      <c r="HD12" s="66"/>
      <c r="HE12" s="66"/>
      <c r="HF12" s="66"/>
      <c r="HG12" s="66"/>
      <c r="HH12" s="66"/>
      <c r="HI12" s="66"/>
      <c r="HJ12" s="66"/>
      <c r="HK12" s="66"/>
      <c r="HL12" s="66"/>
      <c r="HM12" s="66"/>
      <c r="HN12" s="66"/>
      <c r="HO12" s="66"/>
      <c r="HP12" s="66"/>
      <c r="HQ12" s="66"/>
      <c r="HR12" s="66"/>
      <c r="HS12" s="66"/>
      <c r="HT12" s="66"/>
      <c r="HU12" s="66"/>
      <c r="HV12" s="66"/>
      <c r="HW12" s="66"/>
      <c r="HX12" s="66"/>
      <c r="HY12" s="66"/>
      <c r="HZ12" s="66"/>
      <c r="IA12" s="66"/>
      <c r="IB12" s="66"/>
      <c r="IC12" s="66"/>
      <c r="ID12" s="66"/>
      <c r="IE12" s="66"/>
      <c r="IF12" s="66"/>
      <c r="IG12" s="66"/>
      <c r="IH12" s="66"/>
      <c r="II12" s="66"/>
      <c r="IJ12" s="66"/>
      <c r="IK12" s="66"/>
      <c r="IL12" s="66"/>
      <c r="IM12" s="66"/>
      <c r="IN12" s="66"/>
      <c r="IO12" s="66"/>
      <c r="IP12" s="66"/>
      <c r="IQ12" s="66"/>
      <c r="IR12" s="66"/>
      <c r="IS12" s="66"/>
      <c r="IT12" s="66"/>
      <c r="IU12" s="66"/>
      <c r="IV12" s="66"/>
      <c r="IW12" s="66"/>
      <c r="IX12" s="66"/>
      <c r="IY12" s="66"/>
      <c r="IZ12" s="66"/>
      <c r="JA12" s="66"/>
      <c r="JB12" s="66"/>
      <c r="JC12" s="66"/>
      <c r="JD12" s="66"/>
      <c r="JE12" s="66"/>
      <c r="JF12" s="66"/>
      <c r="JG12" s="66"/>
      <c r="JH12" s="66"/>
      <c r="JI12" s="66"/>
      <c r="JJ12" s="66"/>
      <c r="JK12" s="66"/>
      <c r="JL12" s="67"/>
    </row>
    <row r="13" spans="1:272" ht="16.95" customHeight="1" x14ac:dyDescent="0.3">
      <c r="B13" s="47" t="s">
        <v>65</v>
      </c>
      <c r="C13" s="48" t="s">
        <v>66</v>
      </c>
      <c r="D13" s="49">
        <f>WORKDAY(F11,1,Feriados_BO_2026)</f>
        <v>46149</v>
      </c>
      <c r="E13" s="51">
        <v>3</v>
      </c>
      <c r="F13" s="50">
        <f>WORKDAY(D13,E13-1,Feriados_BO_2026)</f>
        <v>46153</v>
      </c>
      <c r="G13" s="68">
        <v>46154</v>
      </c>
      <c r="H13" s="68">
        <v>46155</v>
      </c>
      <c r="I13" s="84">
        <f ca="1">IF($H13&lt;&gt;"",SIGN($H13-$F13)*(NETWORKDAYS(MIN($F13,$H13),MAX($F13,$H13),Feriados_BO_2026)-1),IF($G13&lt;&gt;"",IF(TODAY()&gt;$F13,NETWORKDAYS($F13,TODAY(),Feriados_BO_2026)-1,0),IF(TODAY()&gt;$D13,NETWORKDAYS($D13,TODAY(),Feriados_BO_2026)-1,0)))</f>
        <v>2</v>
      </c>
      <c r="J13" s="52">
        <v>4.2000000000000003E-2</v>
      </c>
      <c r="K13" s="53">
        <f>SUM(J$5:J13)</f>
        <v>0.19800000000000001</v>
      </c>
      <c r="L13" s="55" t="s">
        <v>54</v>
      </c>
      <c r="M13" s="56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57"/>
      <c r="BF13" s="57"/>
      <c r="BG13" s="57"/>
      <c r="BH13" s="57"/>
      <c r="BI13" s="57"/>
      <c r="BJ13" s="57"/>
      <c r="BK13" s="57"/>
      <c r="BL13" s="57"/>
      <c r="BM13" s="57"/>
      <c r="BN13" s="57"/>
      <c r="BO13" s="57"/>
      <c r="BP13" s="57"/>
      <c r="BQ13" s="57"/>
      <c r="BR13" s="57"/>
      <c r="BS13" s="57"/>
      <c r="BT13" s="57"/>
      <c r="BU13" s="57"/>
      <c r="BV13" s="57"/>
      <c r="BW13" s="57"/>
      <c r="BX13" s="57"/>
      <c r="BY13" s="57"/>
      <c r="BZ13" s="57"/>
      <c r="CA13" s="57"/>
      <c r="CB13" s="57"/>
      <c r="CC13" s="57"/>
      <c r="CD13" s="57"/>
      <c r="CE13" s="57"/>
      <c r="CF13" s="57"/>
      <c r="CG13" s="57"/>
      <c r="CH13" s="57"/>
      <c r="CI13" s="57"/>
      <c r="CJ13" s="57"/>
      <c r="CK13" s="57"/>
      <c r="CL13" s="57"/>
      <c r="CM13" s="57"/>
      <c r="CN13" s="57"/>
      <c r="CO13" s="57"/>
      <c r="CP13" s="57"/>
      <c r="CQ13" s="57"/>
      <c r="CR13" s="57"/>
      <c r="CS13" s="57"/>
      <c r="CT13" s="57"/>
      <c r="CU13" s="57"/>
      <c r="CV13" s="57"/>
      <c r="CW13" s="57"/>
      <c r="CX13" s="57"/>
      <c r="CY13" s="57"/>
      <c r="CZ13" s="57"/>
      <c r="DA13" s="57"/>
      <c r="DB13" s="57"/>
      <c r="DC13" s="57"/>
      <c r="DD13" s="57"/>
      <c r="DE13" s="57"/>
      <c r="DF13" s="57"/>
      <c r="DG13" s="57"/>
      <c r="DH13" s="57"/>
      <c r="DI13" s="57"/>
      <c r="DJ13" s="57"/>
      <c r="DK13" s="57"/>
      <c r="DL13" s="57"/>
      <c r="DM13" s="57"/>
      <c r="DN13" s="57"/>
      <c r="DO13" s="57"/>
      <c r="DP13" s="57"/>
      <c r="DQ13" s="57"/>
      <c r="DR13" s="57"/>
      <c r="DS13" s="57"/>
      <c r="DT13" s="57"/>
      <c r="DU13" s="57"/>
      <c r="DV13" s="57"/>
      <c r="DW13" s="57"/>
      <c r="DX13" s="57"/>
      <c r="DY13" s="57"/>
      <c r="DZ13" s="57"/>
      <c r="EA13" s="57"/>
      <c r="EB13" s="57"/>
      <c r="EC13" s="57"/>
      <c r="ED13" s="57"/>
      <c r="EE13" s="57"/>
      <c r="EF13" s="57"/>
      <c r="EG13" s="57"/>
      <c r="EH13" s="57"/>
      <c r="EI13" s="57"/>
      <c r="EJ13" s="57"/>
      <c r="EK13" s="57"/>
      <c r="EL13" s="57"/>
      <c r="EM13" s="57"/>
      <c r="EN13" s="57"/>
      <c r="EO13" s="57"/>
      <c r="EP13" s="57"/>
      <c r="EQ13" s="57"/>
      <c r="ER13" s="57"/>
      <c r="ES13" s="57"/>
      <c r="ET13" s="57"/>
      <c r="EU13" s="57"/>
      <c r="EV13" s="57"/>
      <c r="EW13" s="57"/>
      <c r="EX13" s="57"/>
      <c r="EY13" s="57"/>
      <c r="EZ13" s="57"/>
      <c r="FA13" s="57"/>
      <c r="FB13" s="57"/>
      <c r="FC13" s="57"/>
      <c r="FD13" s="57"/>
      <c r="FE13" s="57"/>
      <c r="FF13" s="57"/>
      <c r="FG13" s="57"/>
      <c r="FH13" s="57"/>
      <c r="FI13" s="57"/>
      <c r="FJ13" s="57"/>
      <c r="FK13" s="57"/>
      <c r="FL13" s="57"/>
      <c r="FM13" s="57"/>
      <c r="FN13" s="57"/>
      <c r="FO13" s="57"/>
      <c r="FP13" s="57"/>
      <c r="FQ13" s="57"/>
      <c r="FR13" s="57"/>
      <c r="FS13" s="57"/>
      <c r="FT13" s="57"/>
      <c r="FU13" s="57"/>
      <c r="FV13" s="57"/>
      <c r="FW13" s="57"/>
      <c r="FX13" s="57"/>
      <c r="FY13" s="57"/>
      <c r="FZ13" s="57"/>
      <c r="GA13" s="57"/>
      <c r="GB13" s="57"/>
      <c r="GC13" s="57"/>
      <c r="GD13" s="57"/>
      <c r="GE13" s="57"/>
      <c r="GF13" s="57"/>
      <c r="GG13" s="57"/>
      <c r="GH13" s="57"/>
      <c r="GI13" s="57"/>
      <c r="GJ13" s="57"/>
      <c r="GK13" s="57"/>
      <c r="GL13" s="57"/>
      <c r="GM13" s="57"/>
      <c r="GN13" s="57"/>
      <c r="GO13" s="57"/>
      <c r="GP13" s="57"/>
      <c r="GQ13" s="57"/>
      <c r="GR13" s="57"/>
      <c r="GS13" s="57"/>
      <c r="GT13" s="57"/>
      <c r="GU13" s="57"/>
      <c r="GV13" s="57"/>
      <c r="GW13" s="57"/>
      <c r="GX13" s="57"/>
      <c r="GY13" s="57"/>
      <c r="GZ13" s="57"/>
      <c r="HA13" s="57"/>
      <c r="HB13" s="57"/>
      <c r="HC13" s="57"/>
      <c r="HD13" s="57"/>
      <c r="HE13" s="57"/>
      <c r="HF13" s="57"/>
      <c r="HG13" s="57"/>
      <c r="HH13" s="57"/>
      <c r="HI13" s="57"/>
      <c r="HJ13" s="57"/>
      <c r="HK13" s="57"/>
      <c r="HL13" s="57"/>
      <c r="HM13" s="57"/>
      <c r="HN13" s="57"/>
      <c r="HO13" s="57"/>
      <c r="HP13" s="57"/>
      <c r="HQ13" s="57"/>
      <c r="HR13" s="57"/>
      <c r="HS13" s="57"/>
      <c r="HT13" s="57"/>
      <c r="HU13" s="57"/>
      <c r="HV13" s="57"/>
      <c r="HW13" s="57"/>
      <c r="HX13" s="57"/>
      <c r="HY13" s="57"/>
      <c r="HZ13" s="57"/>
      <c r="IA13" s="57"/>
      <c r="IB13" s="57"/>
      <c r="IC13" s="57"/>
      <c r="ID13" s="57"/>
      <c r="IE13" s="57"/>
      <c r="IF13" s="57"/>
      <c r="IG13" s="57"/>
      <c r="IH13" s="57"/>
      <c r="II13" s="57"/>
      <c r="IJ13" s="57"/>
      <c r="IK13" s="57"/>
      <c r="IL13" s="57"/>
      <c r="IM13" s="57"/>
      <c r="IN13" s="57"/>
      <c r="IO13" s="57"/>
      <c r="IP13" s="57"/>
      <c r="IQ13" s="57"/>
      <c r="IR13" s="57"/>
      <c r="IS13" s="57"/>
      <c r="IT13" s="57"/>
      <c r="IU13" s="57"/>
      <c r="IV13" s="57"/>
      <c r="IW13" s="57"/>
      <c r="IX13" s="57"/>
      <c r="IY13" s="57"/>
      <c r="IZ13" s="57"/>
      <c r="JA13" s="57"/>
      <c r="JB13" s="57"/>
      <c r="JC13" s="57"/>
      <c r="JD13" s="57"/>
      <c r="JE13" s="57"/>
      <c r="JF13" s="57"/>
      <c r="JG13" s="57"/>
      <c r="JH13" s="57"/>
      <c r="JI13" s="57"/>
      <c r="JJ13" s="57"/>
      <c r="JK13" s="57"/>
      <c r="JL13" s="58"/>
    </row>
    <row r="14" spans="1:272" ht="16.95" customHeight="1" x14ac:dyDescent="0.3">
      <c r="B14" s="47" t="s">
        <v>67</v>
      </c>
      <c r="C14" s="48" t="s">
        <v>68</v>
      </c>
      <c r="D14" s="49">
        <f>WORKDAY(F13,1,Feriados_BO_2026)</f>
        <v>46154</v>
      </c>
      <c r="E14" s="51">
        <v>2</v>
      </c>
      <c r="F14" s="50">
        <f>WORKDAY(D14,E14-1,Feriados_BO_2026)</f>
        <v>46155</v>
      </c>
      <c r="G14" s="68">
        <v>46155</v>
      </c>
      <c r="H14" s="68">
        <v>46156</v>
      </c>
      <c r="I14" s="84">
        <f ca="1">IF($H14&lt;&gt;"",SIGN($H14-$F14)*(NETWORKDAYS(MIN($F14,$H14),MAX($F14,$H14),Feriados_BO_2026)-1),IF($G14&lt;&gt;"",IF(TODAY()&gt;$F14,NETWORKDAYS($F14,TODAY(),Feriados_BO_2026)-1,0),IF(TODAY()&gt;$D14,NETWORKDAYS($D14,TODAY(),Feriados_BO_2026)-1,0)))</f>
        <v>1</v>
      </c>
      <c r="J14" s="52">
        <v>3.1E-2</v>
      </c>
      <c r="K14" s="53">
        <f>SUM(J$5:J14)</f>
        <v>0.22900000000000001</v>
      </c>
      <c r="L14" s="55" t="s">
        <v>54</v>
      </c>
      <c r="M14" s="56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57"/>
      <c r="BF14" s="57"/>
      <c r="BG14" s="57"/>
      <c r="BH14" s="57"/>
      <c r="BI14" s="57"/>
      <c r="BJ14" s="57"/>
      <c r="BK14" s="57"/>
      <c r="BL14" s="57"/>
      <c r="BM14" s="57"/>
      <c r="BN14" s="57"/>
      <c r="BO14" s="57"/>
      <c r="BP14" s="57"/>
      <c r="BQ14" s="57"/>
      <c r="BR14" s="57"/>
      <c r="BS14" s="57"/>
      <c r="BT14" s="57"/>
      <c r="BU14" s="57"/>
      <c r="BV14" s="57"/>
      <c r="BW14" s="57"/>
      <c r="BX14" s="57"/>
      <c r="BY14" s="57"/>
      <c r="BZ14" s="57"/>
      <c r="CA14" s="57"/>
      <c r="CB14" s="57"/>
      <c r="CC14" s="57"/>
      <c r="CD14" s="57"/>
      <c r="CE14" s="57"/>
      <c r="CF14" s="57"/>
      <c r="CG14" s="57"/>
      <c r="CH14" s="57"/>
      <c r="CI14" s="57"/>
      <c r="CJ14" s="57"/>
      <c r="CK14" s="57"/>
      <c r="CL14" s="57"/>
      <c r="CM14" s="57"/>
      <c r="CN14" s="57"/>
      <c r="CO14" s="57"/>
      <c r="CP14" s="57"/>
      <c r="CQ14" s="57"/>
      <c r="CR14" s="57"/>
      <c r="CS14" s="57"/>
      <c r="CT14" s="57"/>
      <c r="CU14" s="57"/>
      <c r="CV14" s="57"/>
      <c r="CW14" s="57"/>
      <c r="CX14" s="57"/>
      <c r="CY14" s="57"/>
      <c r="CZ14" s="57"/>
      <c r="DA14" s="57"/>
      <c r="DB14" s="57"/>
      <c r="DC14" s="57"/>
      <c r="DD14" s="57"/>
      <c r="DE14" s="57"/>
      <c r="DF14" s="57"/>
      <c r="DG14" s="57"/>
      <c r="DH14" s="57"/>
      <c r="DI14" s="57"/>
      <c r="DJ14" s="57"/>
      <c r="DK14" s="57"/>
      <c r="DL14" s="57"/>
      <c r="DM14" s="57"/>
      <c r="DN14" s="57"/>
      <c r="DO14" s="57"/>
      <c r="DP14" s="57"/>
      <c r="DQ14" s="57"/>
      <c r="DR14" s="57"/>
      <c r="DS14" s="57"/>
      <c r="DT14" s="57"/>
      <c r="DU14" s="57"/>
      <c r="DV14" s="57"/>
      <c r="DW14" s="57"/>
      <c r="DX14" s="57"/>
      <c r="DY14" s="57"/>
      <c r="DZ14" s="57"/>
      <c r="EA14" s="57"/>
      <c r="EB14" s="57"/>
      <c r="EC14" s="57"/>
      <c r="ED14" s="57"/>
      <c r="EE14" s="57"/>
      <c r="EF14" s="57"/>
      <c r="EG14" s="57"/>
      <c r="EH14" s="57"/>
      <c r="EI14" s="57"/>
      <c r="EJ14" s="57"/>
      <c r="EK14" s="57"/>
      <c r="EL14" s="57"/>
      <c r="EM14" s="57"/>
      <c r="EN14" s="57"/>
      <c r="EO14" s="57"/>
      <c r="EP14" s="57"/>
      <c r="EQ14" s="57"/>
      <c r="ER14" s="57"/>
      <c r="ES14" s="57"/>
      <c r="ET14" s="57"/>
      <c r="EU14" s="57"/>
      <c r="EV14" s="57"/>
      <c r="EW14" s="57"/>
      <c r="EX14" s="57"/>
      <c r="EY14" s="57"/>
      <c r="EZ14" s="57"/>
      <c r="FA14" s="57"/>
      <c r="FB14" s="57"/>
      <c r="FC14" s="57"/>
      <c r="FD14" s="57"/>
      <c r="FE14" s="57"/>
      <c r="FF14" s="57"/>
      <c r="FG14" s="57"/>
      <c r="FH14" s="57"/>
      <c r="FI14" s="57"/>
      <c r="FJ14" s="57"/>
      <c r="FK14" s="57"/>
      <c r="FL14" s="57"/>
      <c r="FM14" s="57"/>
      <c r="FN14" s="57"/>
      <c r="FO14" s="57"/>
      <c r="FP14" s="57"/>
      <c r="FQ14" s="57"/>
      <c r="FR14" s="57"/>
      <c r="FS14" s="57"/>
      <c r="FT14" s="57"/>
      <c r="FU14" s="57"/>
      <c r="FV14" s="57"/>
      <c r="FW14" s="57"/>
      <c r="FX14" s="57"/>
      <c r="FY14" s="57"/>
      <c r="FZ14" s="57"/>
      <c r="GA14" s="57"/>
      <c r="GB14" s="57"/>
      <c r="GC14" s="57"/>
      <c r="GD14" s="57"/>
      <c r="GE14" s="57"/>
      <c r="GF14" s="57"/>
      <c r="GG14" s="57"/>
      <c r="GH14" s="57"/>
      <c r="GI14" s="57"/>
      <c r="GJ14" s="57"/>
      <c r="GK14" s="57"/>
      <c r="GL14" s="57"/>
      <c r="GM14" s="57"/>
      <c r="GN14" s="57"/>
      <c r="GO14" s="57"/>
      <c r="GP14" s="57"/>
      <c r="GQ14" s="57"/>
      <c r="GR14" s="57"/>
      <c r="GS14" s="57"/>
      <c r="GT14" s="57"/>
      <c r="GU14" s="57"/>
      <c r="GV14" s="57"/>
      <c r="GW14" s="57"/>
      <c r="GX14" s="57"/>
      <c r="GY14" s="57"/>
      <c r="GZ14" s="57"/>
      <c r="HA14" s="57"/>
      <c r="HB14" s="57"/>
      <c r="HC14" s="57"/>
      <c r="HD14" s="57"/>
      <c r="HE14" s="57"/>
      <c r="HF14" s="57"/>
      <c r="HG14" s="57"/>
      <c r="HH14" s="57"/>
      <c r="HI14" s="57"/>
      <c r="HJ14" s="57"/>
      <c r="HK14" s="57"/>
      <c r="HL14" s="57"/>
      <c r="HM14" s="57"/>
      <c r="HN14" s="57"/>
      <c r="HO14" s="57"/>
      <c r="HP14" s="57"/>
      <c r="HQ14" s="57"/>
      <c r="HR14" s="57"/>
      <c r="HS14" s="57"/>
      <c r="HT14" s="57"/>
      <c r="HU14" s="57"/>
      <c r="HV14" s="57"/>
      <c r="HW14" s="57"/>
      <c r="HX14" s="57"/>
      <c r="HY14" s="57"/>
      <c r="HZ14" s="57"/>
      <c r="IA14" s="57"/>
      <c r="IB14" s="57"/>
      <c r="IC14" s="57"/>
      <c r="ID14" s="57"/>
      <c r="IE14" s="57"/>
      <c r="IF14" s="57"/>
      <c r="IG14" s="57"/>
      <c r="IH14" s="57"/>
      <c r="II14" s="57"/>
      <c r="IJ14" s="57"/>
      <c r="IK14" s="57"/>
      <c r="IL14" s="57"/>
      <c r="IM14" s="57"/>
      <c r="IN14" s="57"/>
      <c r="IO14" s="57"/>
      <c r="IP14" s="57"/>
      <c r="IQ14" s="57"/>
      <c r="IR14" s="57"/>
      <c r="IS14" s="57"/>
      <c r="IT14" s="57"/>
      <c r="IU14" s="57"/>
      <c r="IV14" s="57"/>
      <c r="IW14" s="57"/>
      <c r="IX14" s="57"/>
      <c r="IY14" s="57"/>
      <c r="IZ14" s="57"/>
      <c r="JA14" s="57"/>
      <c r="JB14" s="57"/>
      <c r="JC14" s="57"/>
      <c r="JD14" s="57"/>
      <c r="JE14" s="57"/>
      <c r="JF14" s="57"/>
      <c r="JG14" s="57"/>
      <c r="JH14" s="57"/>
      <c r="JI14" s="57"/>
      <c r="JJ14" s="57"/>
      <c r="JK14" s="57"/>
      <c r="JL14" s="58"/>
    </row>
    <row r="15" spans="1:272" ht="16.95" customHeight="1" x14ac:dyDescent="0.3">
      <c r="B15" s="47" t="s">
        <v>69</v>
      </c>
      <c r="C15" s="48" t="s">
        <v>70</v>
      </c>
      <c r="D15" s="49">
        <f>WORKDAY(F14,1,Feriados_BO_2026)</f>
        <v>46156</v>
      </c>
      <c r="E15" s="51">
        <v>4</v>
      </c>
      <c r="F15" s="50">
        <f>WORKDAY(D15,E15-1,Feriados_BO_2026)</f>
        <v>46161</v>
      </c>
      <c r="G15" s="68">
        <v>46155</v>
      </c>
      <c r="H15" s="68">
        <v>46156</v>
      </c>
      <c r="I15" s="84">
        <f ca="1">IF($H15&lt;&gt;"",SIGN($H15-$F15)*(NETWORKDAYS(MIN($F15,$H15),MAX($F15,$H15),Feriados_BO_2026)-1),IF($G15&lt;&gt;"",IF(TODAY()&gt;$F15,NETWORKDAYS($F15,TODAY(),Feriados_BO_2026)-1,0),IF(TODAY()&gt;$D15,NETWORKDAYS($D15,TODAY(),Feriados_BO_2026)-1,0)))</f>
        <v>-3</v>
      </c>
      <c r="J15" s="52">
        <v>4.2000000000000003E-2</v>
      </c>
      <c r="K15" s="53">
        <f>SUM(J$5:J15)</f>
        <v>0.27100000000000002</v>
      </c>
      <c r="L15" s="55" t="s">
        <v>54</v>
      </c>
      <c r="M15" s="56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57"/>
      <c r="BF15" s="57"/>
      <c r="BG15" s="57"/>
      <c r="BH15" s="57"/>
      <c r="BI15" s="57"/>
      <c r="BJ15" s="57"/>
      <c r="BK15" s="57"/>
      <c r="BL15" s="57"/>
      <c r="BM15" s="57"/>
      <c r="BN15" s="57"/>
      <c r="BO15" s="57"/>
      <c r="BP15" s="57"/>
      <c r="BQ15" s="57"/>
      <c r="BR15" s="57"/>
      <c r="BS15" s="57"/>
      <c r="BT15" s="57"/>
      <c r="BU15" s="57"/>
      <c r="BV15" s="57"/>
      <c r="BW15" s="57"/>
      <c r="BX15" s="57"/>
      <c r="BY15" s="57"/>
      <c r="BZ15" s="57"/>
      <c r="CA15" s="57"/>
      <c r="CB15" s="57"/>
      <c r="CC15" s="57"/>
      <c r="CD15" s="57"/>
      <c r="CE15" s="57"/>
      <c r="CF15" s="57"/>
      <c r="CG15" s="57"/>
      <c r="CH15" s="57"/>
      <c r="CI15" s="57"/>
      <c r="CJ15" s="57"/>
      <c r="CK15" s="57"/>
      <c r="CL15" s="57"/>
      <c r="CM15" s="57"/>
      <c r="CN15" s="57"/>
      <c r="CO15" s="57"/>
      <c r="CP15" s="57"/>
      <c r="CQ15" s="57"/>
      <c r="CR15" s="57"/>
      <c r="CS15" s="57"/>
      <c r="CT15" s="57"/>
      <c r="CU15" s="57"/>
      <c r="CV15" s="57"/>
      <c r="CW15" s="57"/>
      <c r="CX15" s="57"/>
      <c r="CY15" s="57"/>
      <c r="CZ15" s="57"/>
      <c r="DA15" s="57"/>
      <c r="DB15" s="57"/>
      <c r="DC15" s="57"/>
      <c r="DD15" s="57"/>
      <c r="DE15" s="57"/>
      <c r="DF15" s="57"/>
      <c r="DG15" s="57"/>
      <c r="DH15" s="57"/>
      <c r="DI15" s="57"/>
      <c r="DJ15" s="57"/>
      <c r="DK15" s="57"/>
      <c r="DL15" s="57"/>
      <c r="DM15" s="57"/>
      <c r="DN15" s="57"/>
      <c r="DO15" s="57"/>
      <c r="DP15" s="57"/>
      <c r="DQ15" s="57"/>
      <c r="DR15" s="57"/>
      <c r="DS15" s="57"/>
      <c r="DT15" s="57"/>
      <c r="DU15" s="57"/>
      <c r="DV15" s="57"/>
      <c r="DW15" s="57"/>
      <c r="DX15" s="57"/>
      <c r="DY15" s="57"/>
      <c r="DZ15" s="57"/>
      <c r="EA15" s="57"/>
      <c r="EB15" s="57"/>
      <c r="EC15" s="57"/>
      <c r="ED15" s="57"/>
      <c r="EE15" s="57"/>
      <c r="EF15" s="57"/>
      <c r="EG15" s="57"/>
      <c r="EH15" s="57"/>
      <c r="EI15" s="57"/>
      <c r="EJ15" s="57"/>
      <c r="EK15" s="57"/>
      <c r="EL15" s="57"/>
      <c r="EM15" s="57"/>
      <c r="EN15" s="57"/>
      <c r="EO15" s="57"/>
      <c r="EP15" s="57"/>
      <c r="EQ15" s="57"/>
      <c r="ER15" s="57"/>
      <c r="ES15" s="57"/>
      <c r="ET15" s="57"/>
      <c r="EU15" s="57"/>
      <c r="EV15" s="57"/>
      <c r="EW15" s="57"/>
      <c r="EX15" s="57"/>
      <c r="EY15" s="57"/>
      <c r="EZ15" s="57"/>
      <c r="FA15" s="57"/>
      <c r="FB15" s="57"/>
      <c r="FC15" s="57"/>
      <c r="FD15" s="57"/>
      <c r="FE15" s="57"/>
      <c r="FF15" s="57"/>
      <c r="FG15" s="57"/>
      <c r="FH15" s="57"/>
      <c r="FI15" s="57"/>
      <c r="FJ15" s="57"/>
      <c r="FK15" s="57"/>
      <c r="FL15" s="57"/>
      <c r="FM15" s="57"/>
      <c r="FN15" s="57"/>
      <c r="FO15" s="57"/>
      <c r="FP15" s="57"/>
      <c r="FQ15" s="57"/>
      <c r="FR15" s="57"/>
      <c r="FS15" s="57"/>
      <c r="FT15" s="57"/>
      <c r="FU15" s="57"/>
      <c r="FV15" s="57"/>
      <c r="FW15" s="57"/>
      <c r="FX15" s="57"/>
      <c r="FY15" s="57"/>
      <c r="FZ15" s="57"/>
      <c r="GA15" s="57"/>
      <c r="GB15" s="57"/>
      <c r="GC15" s="57"/>
      <c r="GD15" s="57"/>
      <c r="GE15" s="57"/>
      <c r="GF15" s="57"/>
      <c r="GG15" s="57"/>
      <c r="GH15" s="57"/>
      <c r="GI15" s="57"/>
      <c r="GJ15" s="57"/>
      <c r="GK15" s="57"/>
      <c r="GL15" s="57"/>
      <c r="GM15" s="57"/>
      <c r="GN15" s="57"/>
      <c r="GO15" s="57"/>
      <c r="GP15" s="57"/>
      <c r="GQ15" s="57"/>
      <c r="GR15" s="57"/>
      <c r="GS15" s="57"/>
      <c r="GT15" s="57"/>
      <c r="GU15" s="57"/>
      <c r="GV15" s="57"/>
      <c r="GW15" s="57"/>
      <c r="GX15" s="57"/>
      <c r="GY15" s="57"/>
      <c r="GZ15" s="57"/>
      <c r="HA15" s="57"/>
      <c r="HB15" s="57"/>
      <c r="HC15" s="57"/>
      <c r="HD15" s="57"/>
      <c r="HE15" s="57"/>
      <c r="HF15" s="57"/>
      <c r="HG15" s="57"/>
      <c r="HH15" s="57"/>
      <c r="HI15" s="57"/>
      <c r="HJ15" s="57"/>
      <c r="HK15" s="57"/>
      <c r="HL15" s="57"/>
      <c r="HM15" s="57"/>
      <c r="HN15" s="57"/>
      <c r="HO15" s="57"/>
      <c r="HP15" s="57"/>
      <c r="HQ15" s="57"/>
      <c r="HR15" s="57"/>
      <c r="HS15" s="57"/>
      <c r="HT15" s="57"/>
      <c r="HU15" s="57"/>
      <c r="HV15" s="57"/>
      <c r="HW15" s="57"/>
      <c r="HX15" s="57"/>
      <c r="HY15" s="57"/>
      <c r="HZ15" s="57"/>
      <c r="IA15" s="57"/>
      <c r="IB15" s="57"/>
      <c r="IC15" s="57"/>
      <c r="ID15" s="57"/>
      <c r="IE15" s="57"/>
      <c r="IF15" s="57"/>
      <c r="IG15" s="57"/>
      <c r="IH15" s="57"/>
      <c r="II15" s="57"/>
      <c r="IJ15" s="57"/>
      <c r="IK15" s="57"/>
      <c r="IL15" s="57"/>
      <c r="IM15" s="57"/>
      <c r="IN15" s="57"/>
      <c r="IO15" s="57"/>
      <c r="IP15" s="57"/>
      <c r="IQ15" s="57"/>
      <c r="IR15" s="57"/>
      <c r="IS15" s="57"/>
      <c r="IT15" s="57"/>
      <c r="IU15" s="57"/>
      <c r="IV15" s="57"/>
      <c r="IW15" s="57"/>
      <c r="IX15" s="57"/>
      <c r="IY15" s="57"/>
      <c r="IZ15" s="57"/>
      <c r="JA15" s="57"/>
      <c r="JB15" s="57"/>
      <c r="JC15" s="57"/>
      <c r="JD15" s="57"/>
      <c r="JE15" s="57"/>
      <c r="JF15" s="57"/>
      <c r="JG15" s="57"/>
      <c r="JH15" s="57"/>
      <c r="JI15" s="57"/>
      <c r="JJ15" s="57"/>
      <c r="JK15" s="57"/>
      <c r="JL15" s="58"/>
    </row>
    <row r="16" spans="1:272" ht="16.95" customHeight="1" x14ac:dyDescent="0.3">
      <c r="B16" s="47" t="s">
        <v>71</v>
      </c>
      <c r="C16" s="48" t="s">
        <v>72</v>
      </c>
      <c r="D16" s="49">
        <f>WORKDAY(F15,1,Feriados_BO_2026)</f>
        <v>46162</v>
      </c>
      <c r="E16" s="51">
        <v>1</v>
      </c>
      <c r="F16" s="50">
        <f>WORKDAY(D16,E16-1,Feriados_BO_2026)</f>
        <v>46162</v>
      </c>
      <c r="G16" s="68"/>
      <c r="H16" s="68"/>
      <c r="I16" s="84">
        <f ca="1">IF($H16&lt;&gt;"",SIGN($H16-$F16)*(NETWORKDAYS(MIN($F16,$H16),MAX($F16,$H16),Feriados_BO_2026)-1),IF($G16&lt;&gt;"",IF(TODAY()&gt;$F16,NETWORKDAYS($F16,TODAY(),Feriados_BO_2026)-1,0),IF(TODAY()&gt;$D16,NETWORKDAYS($D16,TODAY(),Feriados_BO_2026)-1,0)))</f>
        <v>17</v>
      </c>
      <c r="J16" s="52">
        <v>2.1000000000000001E-2</v>
      </c>
      <c r="K16" s="53">
        <f>SUM(J$5:J16)</f>
        <v>0.29200000000000004</v>
      </c>
      <c r="L16" s="55" t="s">
        <v>73</v>
      </c>
      <c r="M16" s="56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57"/>
      <c r="BF16" s="57"/>
      <c r="BG16" s="57"/>
      <c r="BH16" s="57"/>
      <c r="BI16" s="57"/>
      <c r="BJ16" s="57"/>
      <c r="BK16" s="57"/>
      <c r="BL16" s="57"/>
      <c r="BM16" s="57"/>
      <c r="BN16" s="57"/>
      <c r="BO16" s="57"/>
      <c r="BP16" s="57"/>
      <c r="BQ16" s="57"/>
      <c r="BR16" s="57"/>
      <c r="BS16" s="57"/>
      <c r="BT16" s="57"/>
      <c r="BU16" s="57"/>
      <c r="BV16" s="57"/>
      <c r="BW16" s="57"/>
      <c r="BX16" s="57"/>
      <c r="BY16" s="57"/>
      <c r="BZ16" s="57"/>
      <c r="CA16" s="57"/>
      <c r="CB16" s="57"/>
      <c r="CC16" s="57"/>
      <c r="CD16" s="57"/>
      <c r="CE16" s="57"/>
      <c r="CF16" s="57"/>
      <c r="CG16" s="57"/>
      <c r="CH16" s="57"/>
      <c r="CI16" s="57"/>
      <c r="CJ16" s="57"/>
      <c r="CK16" s="57"/>
      <c r="CL16" s="57"/>
      <c r="CM16" s="57"/>
      <c r="CN16" s="57"/>
      <c r="CO16" s="57"/>
      <c r="CP16" s="57"/>
      <c r="CQ16" s="57"/>
      <c r="CR16" s="57"/>
      <c r="CS16" s="57"/>
      <c r="CT16" s="57"/>
      <c r="CU16" s="57"/>
      <c r="CV16" s="57"/>
      <c r="CW16" s="57"/>
      <c r="CX16" s="57"/>
      <c r="CY16" s="57"/>
      <c r="CZ16" s="57"/>
      <c r="DA16" s="57"/>
      <c r="DB16" s="57"/>
      <c r="DC16" s="57"/>
      <c r="DD16" s="57"/>
      <c r="DE16" s="57"/>
      <c r="DF16" s="57"/>
      <c r="DG16" s="57"/>
      <c r="DH16" s="57"/>
      <c r="DI16" s="57"/>
      <c r="DJ16" s="57"/>
      <c r="DK16" s="57"/>
      <c r="DL16" s="57"/>
      <c r="DM16" s="57"/>
      <c r="DN16" s="57"/>
      <c r="DO16" s="57"/>
      <c r="DP16" s="57"/>
      <c r="DQ16" s="57"/>
      <c r="DR16" s="57"/>
      <c r="DS16" s="57"/>
      <c r="DT16" s="57"/>
      <c r="DU16" s="57"/>
      <c r="DV16" s="57"/>
      <c r="DW16" s="57"/>
      <c r="DX16" s="57"/>
      <c r="DY16" s="57"/>
      <c r="DZ16" s="57"/>
      <c r="EA16" s="57"/>
      <c r="EB16" s="57"/>
      <c r="EC16" s="57"/>
      <c r="ED16" s="57"/>
      <c r="EE16" s="57"/>
      <c r="EF16" s="57"/>
      <c r="EG16" s="57"/>
      <c r="EH16" s="57"/>
      <c r="EI16" s="57"/>
      <c r="EJ16" s="57"/>
      <c r="EK16" s="57"/>
      <c r="EL16" s="57"/>
      <c r="EM16" s="57"/>
      <c r="EN16" s="57"/>
      <c r="EO16" s="57"/>
      <c r="EP16" s="57"/>
      <c r="EQ16" s="57"/>
      <c r="ER16" s="57"/>
      <c r="ES16" s="57"/>
      <c r="ET16" s="57"/>
      <c r="EU16" s="57"/>
      <c r="EV16" s="57"/>
      <c r="EW16" s="57"/>
      <c r="EX16" s="57"/>
      <c r="EY16" s="57"/>
      <c r="EZ16" s="57"/>
      <c r="FA16" s="57"/>
      <c r="FB16" s="57"/>
      <c r="FC16" s="57"/>
      <c r="FD16" s="57"/>
      <c r="FE16" s="57"/>
      <c r="FF16" s="57"/>
      <c r="FG16" s="57"/>
      <c r="FH16" s="57"/>
      <c r="FI16" s="57"/>
      <c r="FJ16" s="57"/>
      <c r="FK16" s="57"/>
      <c r="FL16" s="57"/>
      <c r="FM16" s="57"/>
      <c r="FN16" s="57"/>
      <c r="FO16" s="57"/>
      <c r="FP16" s="57"/>
      <c r="FQ16" s="57"/>
      <c r="FR16" s="57"/>
      <c r="FS16" s="57"/>
      <c r="FT16" s="57"/>
      <c r="FU16" s="57"/>
      <c r="FV16" s="57"/>
      <c r="FW16" s="57"/>
      <c r="FX16" s="57"/>
      <c r="FY16" s="57"/>
      <c r="FZ16" s="57"/>
      <c r="GA16" s="57"/>
      <c r="GB16" s="57"/>
      <c r="GC16" s="57"/>
      <c r="GD16" s="57"/>
      <c r="GE16" s="57"/>
      <c r="GF16" s="57"/>
      <c r="GG16" s="57"/>
      <c r="GH16" s="57"/>
      <c r="GI16" s="57"/>
      <c r="GJ16" s="57"/>
      <c r="GK16" s="57"/>
      <c r="GL16" s="57"/>
      <c r="GM16" s="57"/>
      <c r="GN16" s="57"/>
      <c r="GO16" s="57"/>
      <c r="GP16" s="57"/>
      <c r="GQ16" s="57"/>
      <c r="GR16" s="57"/>
      <c r="GS16" s="57"/>
      <c r="GT16" s="57"/>
      <c r="GU16" s="57"/>
      <c r="GV16" s="57"/>
      <c r="GW16" s="57"/>
      <c r="GX16" s="57"/>
      <c r="GY16" s="57"/>
      <c r="GZ16" s="57"/>
      <c r="HA16" s="57"/>
      <c r="HB16" s="57"/>
      <c r="HC16" s="57"/>
      <c r="HD16" s="57"/>
      <c r="HE16" s="57"/>
      <c r="HF16" s="57"/>
      <c r="HG16" s="57"/>
      <c r="HH16" s="57"/>
      <c r="HI16" s="57"/>
      <c r="HJ16" s="57"/>
      <c r="HK16" s="57"/>
      <c r="HL16" s="57"/>
      <c r="HM16" s="57"/>
      <c r="HN16" s="57"/>
      <c r="HO16" s="57"/>
      <c r="HP16" s="57"/>
      <c r="HQ16" s="57"/>
      <c r="HR16" s="57"/>
      <c r="HS16" s="57"/>
      <c r="HT16" s="57"/>
      <c r="HU16" s="57"/>
      <c r="HV16" s="57"/>
      <c r="HW16" s="57"/>
      <c r="HX16" s="57"/>
      <c r="HY16" s="57"/>
      <c r="HZ16" s="57"/>
      <c r="IA16" s="57"/>
      <c r="IB16" s="57"/>
      <c r="IC16" s="57"/>
      <c r="ID16" s="57"/>
      <c r="IE16" s="57"/>
      <c r="IF16" s="57"/>
      <c r="IG16" s="57"/>
      <c r="IH16" s="57"/>
      <c r="II16" s="57"/>
      <c r="IJ16" s="57"/>
      <c r="IK16" s="57"/>
      <c r="IL16" s="57"/>
      <c r="IM16" s="57"/>
      <c r="IN16" s="57"/>
      <c r="IO16" s="57"/>
      <c r="IP16" s="57"/>
      <c r="IQ16" s="57"/>
      <c r="IR16" s="57"/>
      <c r="IS16" s="57"/>
      <c r="IT16" s="57"/>
      <c r="IU16" s="57"/>
      <c r="IV16" s="57"/>
      <c r="IW16" s="57"/>
      <c r="IX16" s="57"/>
      <c r="IY16" s="57"/>
      <c r="IZ16" s="57"/>
      <c r="JA16" s="57"/>
      <c r="JB16" s="57"/>
      <c r="JC16" s="57"/>
      <c r="JD16" s="57"/>
      <c r="JE16" s="57"/>
      <c r="JF16" s="57"/>
      <c r="JG16" s="57"/>
      <c r="JH16" s="57"/>
      <c r="JI16" s="57"/>
      <c r="JJ16" s="57"/>
      <c r="JK16" s="57"/>
      <c r="JL16" s="58"/>
    </row>
    <row r="17" spans="1:272" ht="16.95" customHeight="1" x14ac:dyDescent="0.3">
      <c r="A17" s="132" t="s">
        <v>74</v>
      </c>
      <c r="B17" s="132"/>
      <c r="C17" s="132"/>
      <c r="D17" s="132"/>
      <c r="E17" s="132"/>
      <c r="F17" s="132"/>
      <c r="G17" s="124"/>
      <c r="H17" s="124"/>
      <c r="I17" s="125"/>
      <c r="J17" s="132"/>
      <c r="K17" s="132"/>
      <c r="L17" s="132"/>
      <c r="M17" s="65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66"/>
      <c r="BD17" s="66"/>
      <c r="BE17" s="66"/>
      <c r="BF17" s="66"/>
      <c r="BG17" s="66"/>
      <c r="BH17" s="66"/>
      <c r="BI17" s="66"/>
      <c r="BJ17" s="66"/>
      <c r="BK17" s="66"/>
      <c r="BL17" s="66"/>
      <c r="BM17" s="66"/>
      <c r="BN17" s="66"/>
      <c r="BO17" s="66"/>
      <c r="BP17" s="66"/>
      <c r="BQ17" s="66"/>
      <c r="BR17" s="66"/>
      <c r="BS17" s="66"/>
      <c r="BT17" s="66"/>
      <c r="BU17" s="66"/>
      <c r="BV17" s="66"/>
      <c r="BW17" s="66"/>
      <c r="BX17" s="66"/>
      <c r="BY17" s="66"/>
      <c r="BZ17" s="66"/>
      <c r="CA17" s="66"/>
      <c r="CB17" s="66"/>
      <c r="CC17" s="66"/>
      <c r="CD17" s="66"/>
      <c r="CE17" s="66"/>
      <c r="CF17" s="66"/>
      <c r="CG17" s="66"/>
      <c r="CH17" s="66"/>
      <c r="CI17" s="66"/>
      <c r="CJ17" s="66"/>
      <c r="CK17" s="66"/>
      <c r="CL17" s="66"/>
      <c r="CM17" s="66"/>
      <c r="CN17" s="66"/>
      <c r="CO17" s="66"/>
      <c r="CP17" s="66"/>
      <c r="CQ17" s="66"/>
      <c r="CR17" s="66"/>
      <c r="CS17" s="66"/>
      <c r="CT17" s="66"/>
      <c r="CU17" s="66"/>
      <c r="CV17" s="66"/>
      <c r="CW17" s="66"/>
      <c r="CX17" s="66"/>
      <c r="CY17" s="66"/>
      <c r="CZ17" s="66"/>
      <c r="DA17" s="66"/>
      <c r="DB17" s="66"/>
      <c r="DC17" s="66"/>
      <c r="DD17" s="66"/>
      <c r="DE17" s="66"/>
      <c r="DF17" s="66"/>
      <c r="DG17" s="66"/>
      <c r="DH17" s="66"/>
      <c r="DI17" s="66"/>
      <c r="DJ17" s="66"/>
      <c r="DK17" s="66"/>
      <c r="DL17" s="66"/>
      <c r="DM17" s="66"/>
      <c r="DN17" s="66"/>
      <c r="DO17" s="66"/>
      <c r="DP17" s="66"/>
      <c r="DQ17" s="66"/>
      <c r="DR17" s="66"/>
      <c r="DS17" s="66"/>
      <c r="DT17" s="66"/>
      <c r="DU17" s="66"/>
      <c r="DV17" s="66"/>
      <c r="DW17" s="66"/>
      <c r="DX17" s="66"/>
      <c r="DY17" s="66"/>
      <c r="DZ17" s="66"/>
      <c r="EA17" s="66"/>
      <c r="EB17" s="66"/>
      <c r="EC17" s="66"/>
      <c r="ED17" s="66"/>
      <c r="EE17" s="66"/>
      <c r="EF17" s="66"/>
      <c r="EG17" s="66"/>
      <c r="EH17" s="66"/>
      <c r="EI17" s="66"/>
      <c r="EJ17" s="66"/>
      <c r="EK17" s="66"/>
      <c r="EL17" s="66"/>
      <c r="EM17" s="66"/>
      <c r="EN17" s="66"/>
      <c r="EO17" s="66"/>
      <c r="EP17" s="66"/>
      <c r="EQ17" s="66"/>
      <c r="ER17" s="66"/>
      <c r="ES17" s="66"/>
      <c r="ET17" s="66"/>
      <c r="EU17" s="66"/>
      <c r="EV17" s="66"/>
      <c r="EW17" s="66"/>
      <c r="EX17" s="66"/>
      <c r="EY17" s="66"/>
      <c r="EZ17" s="66"/>
      <c r="FA17" s="66"/>
      <c r="FB17" s="66"/>
      <c r="FC17" s="66"/>
      <c r="FD17" s="66"/>
      <c r="FE17" s="66"/>
      <c r="FF17" s="66"/>
      <c r="FG17" s="66"/>
      <c r="FH17" s="66"/>
      <c r="FI17" s="66"/>
      <c r="FJ17" s="66"/>
      <c r="FK17" s="66"/>
      <c r="FL17" s="66"/>
      <c r="FM17" s="66"/>
      <c r="FN17" s="66"/>
      <c r="FO17" s="66"/>
      <c r="FP17" s="66"/>
      <c r="FQ17" s="66"/>
      <c r="FR17" s="66"/>
      <c r="FS17" s="66"/>
      <c r="FT17" s="66"/>
      <c r="FU17" s="66"/>
      <c r="FV17" s="66"/>
      <c r="FW17" s="66"/>
      <c r="FX17" s="66"/>
      <c r="FY17" s="66"/>
      <c r="FZ17" s="66"/>
      <c r="GA17" s="66"/>
      <c r="GB17" s="66"/>
      <c r="GC17" s="66"/>
      <c r="GD17" s="66"/>
      <c r="GE17" s="66"/>
      <c r="GF17" s="66"/>
      <c r="GG17" s="66"/>
      <c r="GH17" s="66"/>
      <c r="GI17" s="66"/>
      <c r="GJ17" s="66"/>
      <c r="GK17" s="66"/>
      <c r="GL17" s="66"/>
      <c r="GM17" s="66"/>
      <c r="GN17" s="66"/>
      <c r="GO17" s="66"/>
      <c r="GP17" s="66"/>
      <c r="GQ17" s="66"/>
      <c r="GR17" s="66"/>
      <c r="GS17" s="66"/>
      <c r="GT17" s="66"/>
      <c r="GU17" s="66"/>
      <c r="GV17" s="66"/>
      <c r="GW17" s="66"/>
      <c r="GX17" s="66"/>
      <c r="GY17" s="66"/>
      <c r="GZ17" s="66"/>
      <c r="HA17" s="66"/>
      <c r="HB17" s="66"/>
      <c r="HC17" s="66"/>
      <c r="HD17" s="66"/>
      <c r="HE17" s="66"/>
      <c r="HF17" s="66"/>
      <c r="HG17" s="66"/>
      <c r="HH17" s="66"/>
      <c r="HI17" s="66"/>
      <c r="HJ17" s="66"/>
      <c r="HK17" s="66"/>
      <c r="HL17" s="66"/>
      <c r="HM17" s="66"/>
      <c r="HN17" s="66"/>
      <c r="HO17" s="66"/>
      <c r="HP17" s="66"/>
      <c r="HQ17" s="66"/>
      <c r="HR17" s="66"/>
      <c r="HS17" s="66"/>
      <c r="HT17" s="66"/>
      <c r="HU17" s="66"/>
      <c r="HV17" s="66"/>
      <c r="HW17" s="66"/>
      <c r="HX17" s="66"/>
      <c r="HY17" s="66"/>
      <c r="HZ17" s="66"/>
      <c r="IA17" s="66"/>
      <c r="IB17" s="66"/>
      <c r="IC17" s="66"/>
      <c r="ID17" s="66"/>
      <c r="IE17" s="66"/>
      <c r="IF17" s="66"/>
      <c r="IG17" s="66"/>
      <c r="IH17" s="66"/>
      <c r="II17" s="66"/>
      <c r="IJ17" s="66"/>
      <c r="IK17" s="66"/>
      <c r="IL17" s="66"/>
      <c r="IM17" s="66"/>
      <c r="IN17" s="66"/>
      <c r="IO17" s="66"/>
      <c r="IP17" s="66"/>
      <c r="IQ17" s="66"/>
      <c r="IR17" s="66"/>
      <c r="IS17" s="66"/>
      <c r="IT17" s="66"/>
      <c r="IU17" s="66"/>
      <c r="IV17" s="66"/>
      <c r="IW17" s="66"/>
      <c r="IX17" s="66"/>
      <c r="IY17" s="66"/>
      <c r="IZ17" s="66"/>
      <c r="JA17" s="66"/>
      <c r="JB17" s="66"/>
      <c r="JC17" s="66"/>
      <c r="JD17" s="66"/>
      <c r="JE17" s="66"/>
      <c r="JF17" s="66"/>
      <c r="JG17" s="66"/>
      <c r="JH17" s="66"/>
      <c r="JI17" s="66"/>
      <c r="JJ17" s="66"/>
      <c r="JK17" s="66"/>
      <c r="JL17" s="67"/>
    </row>
    <row r="18" spans="1:272" ht="16.95" customHeight="1" x14ac:dyDescent="0.3">
      <c r="B18" s="47" t="s">
        <v>75</v>
      </c>
      <c r="C18" s="48" t="s">
        <v>76</v>
      </c>
      <c r="D18" s="49">
        <f>WORKDAY(F16,1,Feriados_BO_2026)</f>
        <v>46163</v>
      </c>
      <c r="E18" s="51">
        <v>2</v>
      </c>
      <c r="F18" s="50">
        <f>WORKDAY(D18,E18-1,Feriados_BO_2026)</f>
        <v>46164</v>
      </c>
      <c r="G18" s="68">
        <v>46153</v>
      </c>
      <c r="H18" s="68">
        <v>46156</v>
      </c>
      <c r="I18" s="84">
        <f ca="1">IF($H18&lt;&gt;"",SIGN($H18-$F18)*(NETWORKDAYS(MIN($F18,$H18),MAX($F18,$H18),Feriados_BO_2026)-1),IF($G18&lt;&gt;"",IF(TODAY()&gt;$F18,NETWORKDAYS($F18,TODAY(),Feriados_BO_2026)-1,0),IF(TODAY()&gt;$D18,NETWORKDAYS($D18,TODAY(),Feriados_BO_2026)-1,0)))</f>
        <v>-6</v>
      </c>
      <c r="J18" s="52">
        <v>2.1000000000000001E-2</v>
      </c>
      <c r="K18" s="53">
        <f>SUM(J$5:J18)</f>
        <v>0.31300000000000006</v>
      </c>
      <c r="L18" s="55" t="s">
        <v>54</v>
      </c>
      <c r="M18" s="56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57"/>
      <c r="BF18" s="57"/>
      <c r="BG18" s="57"/>
      <c r="BH18" s="57"/>
      <c r="BI18" s="57"/>
      <c r="BJ18" s="57"/>
      <c r="BK18" s="57"/>
      <c r="BL18" s="57"/>
      <c r="BM18" s="57"/>
      <c r="BN18" s="57"/>
      <c r="BO18" s="57"/>
      <c r="BP18" s="57"/>
      <c r="BQ18" s="57"/>
      <c r="BR18" s="57"/>
      <c r="BS18" s="57"/>
      <c r="BT18" s="57"/>
      <c r="BU18" s="57"/>
      <c r="BV18" s="57"/>
      <c r="BW18" s="57"/>
      <c r="BX18" s="57"/>
      <c r="BY18" s="57"/>
      <c r="BZ18" s="57"/>
      <c r="CA18" s="57"/>
      <c r="CB18" s="57"/>
      <c r="CC18" s="57"/>
      <c r="CD18" s="57"/>
      <c r="CE18" s="57"/>
      <c r="CF18" s="57"/>
      <c r="CG18" s="57"/>
      <c r="CH18" s="57"/>
      <c r="CI18" s="57"/>
      <c r="CJ18" s="57"/>
      <c r="CK18" s="57"/>
      <c r="CL18" s="57"/>
      <c r="CM18" s="57"/>
      <c r="CN18" s="57"/>
      <c r="CO18" s="57"/>
      <c r="CP18" s="57"/>
      <c r="CQ18" s="57"/>
      <c r="CR18" s="57"/>
      <c r="CS18" s="57"/>
      <c r="CT18" s="57"/>
      <c r="CU18" s="57"/>
      <c r="CV18" s="57"/>
      <c r="CW18" s="57"/>
      <c r="CX18" s="57"/>
      <c r="CY18" s="57"/>
      <c r="CZ18" s="57"/>
      <c r="DA18" s="57"/>
      <c r="DB18" s="57"/>
      <c r="DC18" s="57"/>
      <c r="DD18" s="57"/>
      <c r="DE18" s="57"/>
      <c r="DF18" s="57"/>
      <c r="DG18" s="57"/>
      <c r="DH18" s="57"/>
      <c r="DI18" s="57"/>
      <c r="DJ18" s="57"/>
      <c r="DK18" s="57"/>
      <c r="DL18" s="57"/>
      <c r="DM18" s="57"/>
      <c r="DN18" s="57"/>
      <c r="DO18" s="57"/>
      <c r="DP18" s="57"/>
      <c r="DQ18" s="57"/>
      <c r="DR18" s="57"/>
      <c r="DS18" s="57"/>
      <c r="DT18" s="57"/>
      <c r="DU18" s="57"/>
      <c r="DV18" s="57"/>
      <c r="DW18" s="57"/>
      <c r="DX18" s="57"/>
      <c r="DY18" s="57"/>
      <c r="DZ18" s="57"/>
      <c r="EA18" s="57"/>
      <c r="EB18" s="57"/>
      <c r="EC18" s="57"/>
      <c r="ED18" s="57"/>
      <c r="EE18" s="57"/>
      <c r="EF18" s="57"/>
      <c r="EG18" s="57"/>
      <c r="EH18" s="57"/>
      <c r="EI18" s="57"/>
      <c r="EJ18" s="57"/>
      <c r="EK18" s="57"/>
      <c r="EL18" s="57"/>
      <c r="EM18" s="57"/>
      <c r="EN18" s="57"/>
      <c r="EO18" s="57"/>
      <c r="EP18" s="57"/>
      <c r="EQ18" s="57"/>
      <c r="ER18" s="57"/>
      <c r="ES18" s="57"/>
      <c r="ET18" s="57"/>
      <c r="EU18" s="57"/>
      <c r="EV18" s="57"/>
      <c r="EW18" s="57"/>
      <c r="EX18" s="57"/>
      <c r="EY18" s="57"/>
      <c r="EZ18" s="57"/>
      <c r="FA18" s="57"/>
      <c r="FB18" s="57"/>
      <c r="FC18" s="57"/>
      <c r="FD18" s="57"/>
      <c r="FE18" s="57"/>
      <c r="FF18" s="57"/>
      <c r="FG18" s="57"/>
      <c r="FH18" s="57"/>
      <c r="FI18" s="57"/>
      <c r="FJ18" s="57"/>
      <c r="FK18" s="57"/>
      <c r="FL18" s="57"/>
      <c r="FM18" s="57"/>
      <c r="FN18" s="57"/>
      <c r="FO18" s="57"/>
      <c r="FP18" s="57"/>
      <c r="FQ18" s="57"/>
      <c r="FR18" s="57"/>
      <c r="FS18" s="57"/>
      <c r="FT18" s="57"/>
      <c r="FU18" s="57"/>
      <c r="FV18" s="57"/>
      <c r="FW18" s="57"/>
      <c r="FX18" s="57"/>
      <c r="FY18" s="57"/>
      <c r="FZ18" s="57"/>
      <c r="GA18" s="57"/>
      <c r="GB18" s="57"/>
      <c r="GC18" s="57"/>
      <c r="GD18" s="57"/>
      <c r="GE18" s="57"/>
      <c r="GF18" s="57"/>
      <c r="GG18" s="57"/>
      <c r="GH18" s="57"/>
      <c r="GI18" s="57"/>
      <c r="GJ18" s="57"/>
      <c r="GK18" s="57"/>
      <c r="GL18" s="57"/>
      <c r="GM18" s="57"/>
      <c r="GN18" s="57"/>
      <c r="GO18" s="57"/>
      <c r="GP18" s="57"/>
      <c r="GQ18" s="57"/>
      <c r="GR18" s="57"/>
      <c r="GS18" s="57"/>
      <c r="GT18" s="57"/>
      <c r="GU18" s="57"/>
      <c r="GV18" s="57"/>
      <c r="GW18" s="57"/>
      <c r="GX18" s="57"/>
      <c r="GY18" s="57"/>
      <c r="GZ18" s="57"/>
      <c r="HA18" s="57"/>
      <c r="HB18" s="57"/>
      <c r="HC18" s="57"/>
      <c r="HD18" s="57"/>
      <c r="HE18" s="57"/>
      <c r="HF18" s="57"/>
      <c r="HG18" s="57"/>
      <c r="HH18" s="57"/>
      <c r="HI18" s="57"/>
      <c r="HJ18" s="57"/>
      <c r="HK18" s="57"/>
      <c r="HL18" s="57"/>
      <c r="HM18" s="57"/>
      <c r="HN18" s="57"/>
      <c r="HO18" s="57"/>
      <c r="HP18" s="57"/>
      <c r="HQ18" s="57"/>
      <c r="HR18" s="57"/>
      <c r="HS18" s="57"/>
      <c r="HT18" s="57"/>
      <c r="HU18" s="57"/>
      <c r="HV18" s="57"/>
      <c r="HW18" s="57"/>
      <c r="HX18" s="57"/>
      <c r="HY18" s="57"/>
      <c r="HZ18" s="57"/>
      <c r="IA18" s="57"/>
      <c r="IB18" s="57"/>
      <c r="IC18" s="57"/>
      <c r="ID18" s="57"/>
      <c r="IE18" s="57"/>
      <c r="IF18" s="57"/>
      <c r="IG18" s="57"/>
      <c r="IH18" s="57"/>
      <c r="II18" s="57"/>
      <c r="IJ18" s="57"/>
      <c r="IK18" s="57"/>
      <c r="IL18" s="57"/>
      <c r="IM18" s="57"/>
      <c r="IN18" s="57"/>
      <c r="IO18" s="57"/>
      <c r="IP18" s="57"/>
      <c r="IQ18" s="57"/>
      <c r="IR18" s="57"/>
      <c r="IS18" s="57"/>
      <c r="IT18" s="57"/>
      <c r="IU18" s="57"/>
      <c r="IV18" s="57"/>
      <c r="IW18" s="57"/>
      <c r="IX18" s="57"/>
      <c r="IY18" s="57"/>
      <c r="IZ18" s="57"/>
      <c r="JA18" s="57"/>
      <c r="JB18" s="57"/>
      <c r="JC18" s="57"/>
      <c r="JD18" s="57"/>
      <c r="JE18" s="57"/>
      <c r="JF18" s="57"/>
      <c r="JG18" s="57"/>
      <c r="JH18" s="57"/>
      <c r="JI18" s="57"/>
      <c r="JJ18" s="57"/>
      <c r="JK18" s="57"/>
      <c r="JL18" s="58"/>
    </row>
    <row r="19" spans="1:272" ht="16.95" customHeight="1" x14ac:dyDescent="0.3">
      <c r="B19" s="47" t="s">
        <v>77</v>
      </c>
      <c r="C19" s="48" t="s">
        <v>78</v>
      </c>
      <c r="D19" s="49">
        <f>WORKDAY(F18,1,Feriados_BO_2026)</f>
        <v>46167</v>
      </c>
      <c r="E19" s="51">
        <v>1</v>
      </c>
      <c r="F19" s="50">
        <f>WORKDAY(D19,E19-1,Feriados_BO_2026)</f>
        <v>46167</v>
      </c>
      <c r="G19" s="68">
        <v>46154</v>
      </c>
      <c r="H19" s="68"/>
      <c r="I19" s="84">
        <f ca="1">IF($H19&lt;&gt;"",SIGN($H19-$F19)*(NETWORKDAYS(MIN($F19,$H19),MAX($F19,$H19),Feriados_BO_2026)-1),IF($G19&lt;&gt;"",IF(TODAY()&gt;$F19,NETWORKDAYS($F19,TODAY(),Feriados_BO_2026)-1,0),IF(TODAY()&gt;$D19,NETWORKDAYS($D19,TODAY(),Feriados_BO_2026)-1,0)))</f>
        <v>14</v>
      </c>
      <c r="J19" s="52">
        <v>5.1999999999999998E-2</v>
      </c>
      <c r="K19" s="53">
        <f>SUM(J$5:J19)</f>
        <v>0.36500000000000005</v>
      </c>
      <c r="L19" s="55" t="s">
        <v>79</v>
      </c>
      <c r="M19" s="56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57"/>
      <c r="BF19" s="57"/>
      <c r="BG19" s="57"/>
      <c r="BH19" s="57"/>
      <c r="BI19" s="57"/>
      <c r="BJ19" s="57"/>
      <c r="BK19" s="57"/>
      <c r="BL19" s="57"/>
      <c r="BM19" s="57"/>
      <c r="BN19" s="57"/>
      <c r="BO19" s="57"/>
      <c r="BP19" s="57"/>
      <c r="BQ19" s="57"/>
      <c r="BR19" s="57"/>
      <c r="BS19" s="57"/>
      <c r="BT19" s="57"/>
      <c r="BU19" s="57"/>
      <c r="BV19" s="57"/>
      <c r="BW19" s="57"/>
      <c r="BX19" s="57"/>
      <c r="BY19" s="57"/>
      <c r="BZ19" s="57"/>
      <c r="CA19" s="57"/>
      <c r="CB19" s="57"/>
      <c r="CC19" s="57"/>
      <c r="CD19" s="57"/>
      <c r="CE19" s="57"/>
      <c r="CF19" s="57"/>
      <c r="CG19" s="57"/>
      <c r="CH19" s="57"/>
      <c r="CI19" s="57"/>
      <c r="CJ19" s="57"/>
      <c r="CK19" s="57"/>
      <c r="CL19" s="57"/>
      <c r="CM19" s="57"/>
      <c r="CN19" s="57"/>
      <c r="CO19" s="57"/>
      <c r="CP19" s="57"/>
      <c r="CQ19" s="57"/>
      <c r="CR19" s="57"/>
      <c r="CS19" s="57"/>
      <c r="CT19" s="57"/>
      <c r="CU19" s="57"/>
      <c r="CV19" s="57"/>
      <c r="CW19" s="57"/>
      <c r="CX19" s="57"/>
      <c r="CY19" s="57"/>
      <c r="CZ19" s="57"/>
      <c r="DA19" s="57"/>
      <c r="DB19" s="57"/>
      <c r="DC19" s="57"/>
      <c r="DD19" s="57"/>
      <c r="DE19" s="57"/>
      <c r="DF19" s="57"/>
      <c r="DG19" s="57"/>
      <c r="DH19" s="57"/>
      <c r="DI19" s="57"/>
      <c r="DJ19" s="57"/>
      <c r="DK19" s="57"/>
      <c r="DL19" s="57"/>
      <c r="DM19" s="57"/>
      <c r="DN19" s="57"/>
      <c r="DO19" s="57"/>
      <c r="DP19" s="57"/>
      <c r="DQ19" s="57"/>
      <c r="DR19" s="57"/>
      <c r="DS19" s="57"/>
      <c r="DT19" s="57"/>
      <c r="DU19" s="57"/>
      <c r="DV19" s="57"/>
      <c r="DW19" s="57"/>
      <c r="DX19" s="57"/>
      <c r="DY19" s="57"/>
      <c r="DZ19" s="57"/>
      <c r="EA19" s="57"/>
      <c r="EB19" s="57"/>
      <c r="EC19" s="57"/>
      <c r="ED19" s="57"/>
      <c r="EE19" s="57"/>
      <c r="EF19" s="57"/>
      <c r="EG19" s="57"/>
      <c r="EH19" s="57"/>
      <c r="EI19" s="57"/>
      <c r="EJ19" s="57"/>
      <c r="EK19" s="57"/>
      <c r="EL19" s="57"/>
      <c r="EM19" s="57"/>
      <c r="EN19" s="57"/>
      <c r="EO19" s="57"/>
      <c r="EP19" s="57"/>
      <c r="EQ19" s="57"/>
      <c r="ER19" s="57"/>
      <c r="ES19" s="57"/>
      <c r="ET19" s="57"/>
      <c r="EU19" s="57"/>
      <c r="EV19" s="57"/>
      <c r="EW19" s="57"/>
      <c r="EX19" s="57"/>
      <c r="EY19" s="57"/>
      <c r="EZ19" s="57"/>
      <c r="FA19" s="57"/>
      <c r="FB19" s="57"/>
      <c r="FC19" s="57"/>
      <c r="FD19" s="57"/>
      <c r="FE19" s="57"/>
      <c r="FF19" s="57"/>
      <c r="FG19" s="57"/>
      <c r="FH19" s="57"/>
      <c r="FI19" s="57"/>
      <c r="FJ19" s="57"/>
      <c r="FK19" s="57"/>
      <c r="FL19" s="57"/>
      <c r="FM19" s="57"/>
      <c r="FN19" s="57"/>
      <c r="FO19" s="57"/>
      <c r="FP19" s="57"/>
      <c r="FQ19" s="57"/>
      <c r="FR19" s="57"/>
      <c r="FS19" s="57"/>
      <c r="FT19" s="57"/>
      <c r="FU19" s="57"/>
      <c r="FV19" s="57"/>
      <c r="FW19" s="57"/>
      <c r="FX19" s="57"/>
      <c r="FY19" s="57"/>
      <c r="FZ19" s="57"/>
      <c r="GA19" s="57"/>
      <c r="GB19" s="57"/>
      <c r="GC19" s="57"/>
      <c r="GD19" s="57"/>
      <c r="GE19" s="57"/>
      <c r="GF19" s="57"/>
      <c r="GG19" s="57"/>
      <c r="GH19" s="57"/>
      <c r="GI19" s="57"/>
      <c r="GJ19" s="57"/>
      <c r="GK19" s="57"/>
      <c r="GL19" s="57"/>
      <c r="GM19" s="57"/>
      <c r="GN19" s="57"/>
      <c r="GO19" s="57"/>
      <c r="GP19" s="57"/>
      <c r="GQ19" s="57"/>
      <c r="GR19" s="57"/>
      <c r="GS19" s="57"/>
      <c r="GT19" s="57"/>
      <c r="GU19" s="57"/>
      <c r="GV19" s="57"/>
      <c r="GW19" s="57"/>
      <c r="GX19" s="57"/>
      <c r="GY19" s="57"/>
      <c r="GZ19" s="57"/>
      <c r="HA19" s="57"/>
      <c r="HB19" s="57"/>
      <c r="HC19" s="57"/>
      <c r="HD19" s="57"/>
      <c r="HE19" s="57"/>
      <c r="HF19" s="57"/>
      <c r="HG19" s="57"/>
      <c r="HH19" s="57"/>
      <c r="HI19" s="57"/>
      <c r="HJ19" s="57"/>
      <c r="HK19" s="57"/>
      <c r="HL19" s="57"/>
      <c r="HM19" s="57"/>
      <c r="HN19" s="57"/>
      <c r="HO19" s="57"/>
      <c r="HP19" s="57"/>
      <c r="HQ19" s="57"/>
      <c r="HR19" s="57"/>
      <c r="HS19" s="57"/>
      <c r="HT19" s="57"/>
      <c r="HU19" s="57"/>
      <c r="HV19" s="57"/>
      <c r="HW19" s="57"/>
      <c r="HX19" s="57"/>
      <c r="HY19" s="57"/>
      <c r="HZ19" s="57"/>
      <c r="IA19" s="57"/>
      <c r="IB19" s="57"/>
      <c r="IC19" s="57"/>
      <c r="ID19" s="57"/>
      <c r="IE19" s="57"/>
      <c r="IF19" s="57"/>
      <c r="IG19" s="57"/>
      <c r="IH19" s="57"/>
      <c r="II19" s="57"/>
      <c r="IJ19" s="57"/>
      <c r="IK19" s="57"/>
      <c r="IL19" s="57"/>
      <c r="IM19" s="57"/>
      <c r="IN19" s="57"/>
      <c r="IO19" s="57"/>
      <c r="IP19" s="57"/>
      <c r="IQ19" s="57"/>
      <c r="IR19" s="57"/>
      <c r="IS19" s="57"/>
      <c r="IT19" s="57"/>
      <c r="IU19" s="57"/>
      <c r="IV19" s="57"/>
      <c r="IW19" s="57"/>
      <c r="IX19" s="57"/>
      <c r="IY19" s="57"/>
      <c r="IZ19" s="57"/>
      <c r="JA19" s="57"/>
      <c r="JB19" s="57"/>
      <c r="JC19" s="57"/>
      <c r="JD19" s="57"/>
      <c r="JE19" s="57"/>
      <c r="JF19" s="57"/>
      <c r="JG19" s="57"/>
      <c r="JH19" s="57"/>
      <c r="JI19" s="57"/>
      <c r="JJ19" s="57"/>
      <c r="JK19" s="57"/>
      <c r="JL19" s="58"/>
    </row>
    <row r="20" spans="1:272" ht="16.95" customHeight="1" x14ac:dyDescent="0.3">
      <c r="B20" s="47" t="s">
        <v>80</v>
      </c>
      <c r="C20" s="48" t="s">
        <v>81</v>
      </c>
      <c r="D20" s="49">
        <f>WORKDAY(F19,1,Feriados_BO_2026)</f>
        <v>46168</v>
      </c>
      <c r="E20" s="51">
        <v>14</v>
      </c>
      <c r="F20" s="50">
        <f>WORKDAY(D20,E20-1,Feriados_BO_2026)</f>
        <v>46188</v>
      </c>
      <c r="G20" s="68">
        <v>46132</v>
      </c>
      <c r="H20" s="68"/>
      <c r="I20" s="84">
        <f ca="1">IF($H20&lt;&gt;"",SIGN($H20-$F20)*(NETWORKDAYS(MIN($F20,$H20),MAX($F20,$H20),Feriados_BO_2026)-1),IF($G20&lt;&gt;"",IF(TODAY()&gt;$F20,NETWORKDAYS($F20,TODAY(),Feriados_BO_2026)-1,0),IF(TODAY()&gt;$D20,NETWORKDAYS($D20,TODAY(),Feriados_BO_2026)-1,0)))</f>
        <v>0</v>
      </c>
      <c r="J20" s="52">
        <f>Ponderaciones!E15</f>
        <v>0.1875</v>
      </c>
      <c r="K20" s="53">
        <f>SUM(J$5:J20)</f>
        <v>0.55249999999999999</v>
      </c>
      <c r="L20" s="55" t="s">
        <v>79</v>
      </c>
      <c r="M20" s="56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57"/>
      <c r="BF20" s="57"/>
      <c r="BG20" s="57"/>
      <c r="BH20" s="57"/>
      <c r="BI20" s="57"/>
      <c r="BJ20" s="57"/>
      <c r="BK20" s="57"/>
      <c r="BL20" s="57"/>
      <c r="BM20" s="57"/>
      <c r="BN20" s="57"/>
      <c r="BO20" s="57"/>
      <c r="BP20" s="57"/>
      <c r="BQ20" s="57"/>
      <c r="BR20" s="57"/>
      <c r="BS20" s="57"/>
      <c r="BT20" s="57"/>
      <c r="BU20" s="57"/>
      <c r="BV20" s="57"/>
      <c r="BW20" s="57"/>
      <c r="BX20" s="57"/>
      <c r="BY20" s="57"/>
      <c r="BZ20" s="57"/>
      <c r="CA20" s="57"/>
      <c r="CB20" s="57"/>
      <c r="CC20" s="57"/>
      <c r="CD20" s="57"/>
      <c r="CE20" s="57"/>
      <c r="CF20" s="57"/>
      <c r="CG20" s="57"/>
      <c r="CH20" s="57"/>
      <c r="CI20" s="57"/>
      <c r="CJ20" s="57"/>
      <c r="CK20" s="57"/>
      <c r="CL20" s="57"/>
      <c r="CM20" s="57"/>
      <c r="CN20" s="57"/>
      <c r="CO20" s="57"/>
      <c r="CP20" s="57"/>
      <c r="CQ20" s="57"/>
      <c r="CR20" s="57"/>
      <c r="CS20" s="57"/>
      <c r="CT20" s="57"/>
      <c r="CU20" s="57"/>
      <c r="CV20" s="57"/>
      <c r="CW20" s="57"/>
      <c r="CX20" s="57"/>
      <c r="CY20" s="57"/>
      <c r="CZ20" s="57"/>
      <c r="DA20" s="57"/>
      <c r="DB20" s="57"/>
      <c r="DC20" s="57"/>
      <c r="DD20" s="57"/>
      <c r="DE20" s="57"/>
      <c r="DF20" s="57"/>
      <c r="DG20" s="57"/>
      <c r="DH20" s="57"/>
      <c r="DI20" s="57"/>
      <c r="DJ20" s="57"/>
      <c r="DK20" s="57"/>
      <c r="DL20" s="57"/>
      <c r="DM20" s="57"/>
      <c r="DN20" s="57"/>
      <c r="DO20" s="57"/>
      <c r="DP20" s="57"/>
      <c r="DQ20" s="57"/>
      <c r="DR20" s="57"/>
      <c r="DS20" s="57"/>
      <c r="DT20" s="57"/>
      <c r="DU20" s="57"/>
      <c r="DV20" s="57"/>
      <c r="DW20" s="57"/>
      <c r="DX20" s="57"/>
      <c r="DY20" s="57"/>
      <c r="DZ20" s="57"/>
      <c r="EA20" s="57"/>
      <c r="EB20" s="57"/>
      <c r="EC20" s="57"/>
      <c r="ED20" s="57"/>
      <c r="EE20" s="57"/>
      <c r="EF20" s="57"/>
      <c r="EG20" s="57"/>
      <c r="EH20" s="57"/>
      <c r="EI20" s="57"/>
      <c r="EJ20" s="57"/>
      <c r="EK20" s="57"/>
      <c r="EL20" s="57"/>
      <c r="EM20" s="57"/>
      <c r="EN20" s="57"/>
      <c r="EO20" s="57"/>
      <c r="EP20" s="57"/>
      <c r="EQ20" s="57"/>
      <c r="ER20" s="57"/>
      <c r="ES20" s="57"/>
      <c r="ET20" s="57"/>
      <c r="EU20" s="57"/>
      <c r="EV20" s="57"/>
      <c r="EW20" s="57"/>
      <c r="EX20" s="57"/>
      <c r="EY20" s="57"/>
      <c r="EZ20" s="57"/>
      <c r="FA20" s="57"/>
      <c r="FB20" s="57"/>
      <c r="FC20" s="57"/>
      <c r="FD20" s="57"/>
      <c r="FE20" s="57"/>
      <c r="FF20" s="57"/>
      <c r="FG20" s="57"/>
      <c r="FH20" s="57"/>
      <c r="FI20" s="57"/>
      <c r="FJ20" s="57"/>
      <c r="FK20" s="57"/>
      <c r="FL20" s="57"/>
      <c r="FM20" s="57"/>
      <c r="FN20" s="57"/>
      <c r="FO20" s="57"/>
      <c r="FP20" s="57"/>
      <c r="FQ20" s="57"/>
      <c r="FR20" s="57"/>
      <c r="FS20" s="57"/>
      <c r="FT20" s="57"/>
      <c r="FU20" s="57"/>
      <c r="FV20" s="57"/>
      <c r="FW20" s="57"/>
      <c r="FX20" s="57"/>
      <c r="FY20" s="57"/>
      <c r="FZ20" s="57"/>
      <c r="GA20" s="57"/>
      <c r="GB20" s="57"/>
      <c r="GC20" s="57"/>
      <c r="GD20" s="57"/>
      <c r="GE20" s="57"/>
      <c r="GF20" s="57"/>
      <c r="GG20" s="57"/>
      <c r="GH20" s="57"/>
      <c r="GI20" s="57"/>
      <c r="GJ20" s="57"/>
      <c r="GK20" s="57"/>
      <c r="GL20" s="57"/>
      <c r="GM20" s="57"/>
      <c r="GN20" s="57"/>
      <c r="GO20" s="57"/>
      <c r="GP20" s="57"/>
      <c r="GQ20" s="57"/>
      <c r="GR20" s="57"/>
      <c r="GS20" s="57"/>
      <c r="GT20" s="57"/>
      <c r="GU20" s="57"/>
      <c r="GV20" s="57"/>
      <c r="GW20" s="57"/>
      <c r="GX20" s="57"/>
      <c r="GY20" s="57"/>
      <c r="GZ20" s="57"/>
      <c r="HA20" s="57"/>
      <c r="HB20" s="57"/>
      <c r="HC20" s="57"/>
      <c r="HD20" s="57"/>
      <c r="HE20" s="57"/>
      <c r="HF20" s="57"/>
      <c r="HG20" s="57"/>
      <c r="HH20" s="57"/>
      <c r="HI20" s="57"/>
      <c r="HJ20" s="57"/>
      <c r="HK20" s="57"/>
      <c r="HL20" s="57"/>
      <c r="HM20" s="57"/>
      <c r="HN20" s="57"/>
      <c r="HO20" s="57"/>
      <c r="HP20" s="57"/>
      <c r="HQ20" s="57"/>
      <c r="HR20" s="57"/>
      <c r="HS20" s="57"/>
      <c r="HT20" s="57"/>
      <c r="HU20" s="57"/>
      <c r="HV20" s="57"/>
      <c r="HW20" s="57"/>
      <c r="HX20" s="57"/>
      <c r="HY20" s="57"/>
      <c r="HZ20" s="57"/>
      <c r="IA20" s="57"/>
      <c r="IB20" s="57"/>
      <c r="IC20" s="57"/>
      <c r="ID20" s="57"/>
      <c r="IE20" s="57"/>
      <c r="IF20" s="57"/>
      <c r="IG20" s="57"/>
      <c r="IH20" s="57"/>
      <c r="II20" s="57"/>
      <c r="IJ20" s="57"/>
      <c r="IK20" s="57"/>
      <c r="IL20" s="57"/>
      <c r="IM20" s="57"/>
      <c r="IN20" s="57"/>
      <c r="IO20" s="57"/>
      <c r="IP20" s="57"/>
      <c r="IQ20" s="57"/>
      <c r="IR20" s="57"/>
      <c r="IS20" s="57"/>
      <c r="IT20" s="57"/>
      <c r="IU20" s="57"/>
      <c r="IV20" s="57"/>
      <c r="IW20" s="57"/>
      <c r="IX20" s="57"/>
      <c r="IY20" s="57"/>
      <c r="IZ20" s="57"/>
      <c r="JA20" s="57"/>
      <c r="JB20" s="57"/>
      <c r="JC20" s="57"/>
      <c r="JD20" s="57"/>
      <c r="JE20" s="57"/>
      <c r="JF20" s="57"/>
      <c r="JG20" s="57"/>
      <c r="JH20" s="57"/>
      <c r="JI20" s="57"/>
      <c r="JJ20" s="57"/>
      <c r="JK20" s="57"/>
      <c r="JL20" s="58"/>
    </row>
    <row r="21" spans="1:272" ht="16.95" customHeight="1" x14ac:dyDescent="0.3">
      <c r="B21" s="47" t="s">
        <v>82</v>
      </c>
      <c r="C21" s="48" t="s">
        <v>78</v>
      </c>
      <c r="D21" s="49">
        <f>WORKDAY(F20,1,Feriados_BO_2026)</f>
        <v>46189</v>
      </c>
      <c r="E21" s="51">
        <v>11</v>
      </c>
      <c r="F21" s="50">
        <f>WORKDAY(D21,E21-1,Feriados_BO_2026)</f>
        <v>46203</v>
      </c>
      <c r="G21" s="68">
        <v>46113</v>
      </c>
      <c r="H21" s="68"/>
      <c r="I21" s="84">
        <f ca="1">IF($H21&lt;&gt;"",SIGN($H21-$F21)*(NETWORKDAYS(MIN($F21,$H21),MAX($F21,$H21),Feriados_BO_2026)-1),IF($G21&lt;&gt;"",IF(TODAY()&gt;$F21,NETWORKDAYS($F21,TODAY(),Feriados_BO_2026)-1,0),IF(TODAY()&gt;$D21,NETWORKDAYS($D21,TODAY(),Feriados_BO_2026)-1,0)))</f>
        <v>0</v>
      </c>
      <c r="J21" s="52">
        <v>8.3000000000000004E-2</v>
      </c>
      <c r="K21" s="53">
        <f>SUM(J$5:J21)</f>
        <v>0.63549999999999995</v>
      </c>
      <c r="L21" s="55" t="s">
        <v>79</v>
      </c>
      <c r="M21" s="56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57"/>
      <c r="BF21" s="57"/>
      <c r="BG21" s="57"/>
      <c r="BH21" s="57"/>
      <c r="BI21" s="57"/>
      <c r="BJ21" s="57"/>
      <c r="BK21" s="57"/>
      <c r="BL21" s="57"/>
      <c r="BM21" s="57"/>
      <c r="BN21" s="57"/>
      <c r="BO21" s="57"/>
      <c r="BP21" s="57"/>
      <c r="BQ21" s="57"/>
      <c r="BR21" s="57"/>
      <c r="BS21" s="57"/>
      <c r="BT21" s="57"/>
      <c r="BU21" s="57"/>
      <c r="BV21" s="57"/>
      <c r="BW21" s="57"/>
      <c r="BX21" s="57"/>
      <c r="BY21" s="57"/>
      <c r="BZ21" s="57"/>
      <c r="CA21" s="57"/>
      <c r="CB21" s="57"/>
      <c r="CC21" s="57"/>
      <c r="CD21" s="57"/>
      <c r="CE21" s="57"/>
      <c r="CF21" s="57"/>
      <c r="CG21" s="57"/>
      <c r="CH21" s="57"/>
      <c r="CI21" s="57"/>
      <c r="CJ21" s="57"/>
      <c r="CK21" s="57"/>
      <c r="CL21" s="57"/>
      <c r="CM21" s="57"/>
      <c r="CN21" s="57"/>
      <c r="CO21" s="57"/>
      <c r="CP21" s="57"/>
      <c r="CQ21" s="57"/>
      <c r="CR21" s="57"/>
      <c r="CS21" s="57"/>
      <c r="CT21" s="57"/>
      <c r="CU21" s="57"/>
      <c r="CV21" s="57"/>
      <c r="CW21" s="57"/>
      <c r="CX21" s="57"/>
      <c r="CY21" s="57"/>
      <c r="CZ21" s="57"/>
      <c r="DA21" s="57"/>
      <c r="DB21" s="57"/>
      <c r="DC21" s="57"/>
      <c r="DD21" s="57"/>
      <c r="DE21" s="57"/>
      <c r="DF21" s="57"/>
      <c r="DG21" s="57"/>
      <c r="DH21" s="57"/>
      <c r="DI21" s="57"/>
      <c r="DJ21" s="57"/>
      <c r="DK21" s="57"/>
      <c r="DL21" s="57"/>
      <c r="DM21" s="57"/>
      <c r="DN21" s="57"/>
      <c r="DO21" s="57"/>
      <c r="DP21" s="57"/>
      <c r="DQ21" s="57"/>
      <c r="DR21" s="57"/>
      <c r="DS21" s="57"/>
      <c r="DT21" s="57"/>
      <c r="DU21" s="57"/>
      <c r="DV21" s="57"/>
      <c r="DW21" s="57"/>
      <c r="DX21" s="57"/>
      <c r="DY21" s="57"/>
      <c r="DZ21" s="57"/>
      <c r="EA21" s="57"/>
      <c r="EB21" s="57"/>
      <c r="EC21" s="57"/>
      <c r="ED21" s="57"/>
      <c r="EE21" s="57"/>
      <c r="EF21" s="57"/>
      <c r="EG21" s="57"/>
      <c r="EH21" s="57"/>
      <c r="EI21" s="57"/>
      <c r="EJ21" s="57"/>
      <c r="EK21" s="57"/>
      <c r="EL21" s="57"/>
      <c r="EM21" s="57"/>
      <c r="EN21" s="57"/>
      <c r="EO21" s="57"/>
      <c r="EP21" s="57"/>
      <c r="EQ21" s="57"/>
      <c r="ER21" s="57"/>
      <c r="ES21" s="57"/>
      <c r="ET21" s="57"/>
      <c r="EU21" s="57"/>
      <c r="EV21" s="57"/>
      <c r="EW21" s="57"/>
      <c r="EX21" s="57"/>
      <c r="EY21" s="57"/>
      <c r="EZ21" s="57"/>
      <c r="FA21" s="57"/>
      <c r="FB21" s="57"/>
      <c r="FC21" s="57"/>
      <c r="FD21" s="57"/>
      <c r="FE21" s="57"/>
      <c r="FF21" s="57"/>
      <c r="FG21" s="57"/>
      <c r="FH21" s="57"/>
      <c r="FI21" s="57"/>
      <c r="FJ21" s="57"/>
      <c r="FK21" s="57"/>
      <c r="FL21" s="57"/>
      <c r="FM21" s="57"/>
      <c r="FN21" s="57"/>
      <c r="FO21" s="57"/>
      <c r="FP21" s="57"/>
      <c r="FQ21" s="57"/>
      <c r="FR21" s="57"/>
      <c r="FS21" s="57"/>
      <c r="FT21" s="57"/>
      <c r="FU21" s="57"/>
      <c r="FV21" s="57"/>
      <c r="FW21" s="57"/>
      <c r="FX21" s="57"/>
      <c r="FY21" s="57"/>
      <c r="FZ21" s="57"/>
      <c r="GA21" s="57"/>
      <c r="GB21" s="57"/>
      <c r="GC21" s="57"/>
      <c r="GD21" s="57"/>
      <c r="GE21" s="57"/>
      <c r="GF21" s="57"/>
      <c r="GG21" s="57"/>
      <c r="GH21" s="57"/>
      <c r="GI21" s="57"/>
      <c r="GJ21" s="57"/>
      <c r="GK21" s="57"/>
      <c r="GL21" s="57"/>
      <c r="GM21" s="57"/>
      <c r="GN21" s="57"/>
      <c r="GO21" s="57"/>
      <c r="GP21" s="57"/>
      <c r="GQ21" s="57"/>
      <c r="GR21" s="57"/>
      <c r="GS21" s="57"/>
      <c r="GT21" s="57"/>
      <c r="GU21" s="57"/>
      <c r="GV21" s="57"/>
      <c r="GW21" s="57"/>
      <c r="GX21" s="57"/>
      <c r="GY21" s="57"/>
      <c r="GZ21" s="57"/>
      <c r="HA21" s="57"/>
      <c r="HB21" s="57"/>
      <c r="HC21" s="57"/>
      <c r="HD21" s="57"/>
      <c r="HE21" s="57"/>
      <c r="HF21" s="57"/>
      <c r="HG21" s="57"/>
      <c r="HH21" s="57"/>
      <c r="HI21" s="57"/>
      <c r="HJ21" s="57"/>
      <c r="HK21" s="57"/>
      <c r="HL21" s="57"/>
      <c r="HM21" s="57"/>
      <c r="HN21" s="57"/>
      <c r="HO21" s="57"/>
      <c r="HP21" s="57"/>
      <c r="HQ21" s="57"/>
      <c r="HR21" s="57"/>
      <c r="HS21" s="57"/>
      <c r="HT21" s="57"/>
      <c r="HU21" s="57"/>
      <c r="HV21" s="57"/>
      <c r="HW21" s="57"/>
      <c r="HX21" s="57"/>
      <c r="HY21" s="57"/>
      <c r="HZ21" s="57"/>
      <c r="IA21" s="57"/>
      <c r="IB21" s="57"/>
      <c r="IC21" s="57"/>
      <c r="ID21" s="57"/>
      <c r="IE21" s="57"/>
      <c r="IF21" s="57"/>
      <c r="IG21" s="57"/>
      <c r="IH21" s="57"/>
      <c r="II21" s="57"/>
      <c r="IJ21" s="57"/>
      <c r="IK21" s="57"/>
      <c r="IL21" s="57"/>
      <c r="IM21" s="57"/>
      <c r="IN21" s="57"/>
      <c r="IO21" s="57"/>
      <c r="IP21" s="57"/>
      <c r="IQ21" s="57"/>
      <c r="IR21" s="57"/>
      <c r="IS21" s="57"/>
      <c r="IT21" s="57"/>
      <c r="IU21" s="57"/>
      <c r="IV21" s="57"/>
      <c r="IW21" s="57"/>
      <c r="IX21" s="57"/>
      <c r="IY21" s="57"/>
      <c r="IZ21" s="57"/>
      <c r="JA21" s="57"/>
      <c r="JB21" s="57"/>
      <c r="JC21" s="57"/>
      <c r="JD21" s="57"/>
      <c r="JE21" s="57"/>
      <c r="JF21" s="57"/>
      <c r="JG21" s="57"/>
      <c r="JH21" s="57"/>
      <c r="JI21" s="57"/>
      <c r="JJ21" s="57"/>
      <c r="JK21" s="57"/>
      <c r="JL21" s="58"/>
    </row>
    <row r="22" spans="1:272" ht="16.95" customHeight="1" x14ac:dyDescent="0.3">
      <c r="B22" s="47" t="s">
        <v>83</v>
      </c>
      <c r="C22" s="48" t="s">
        <v>84</v>
      </c>
      <c r="D22" s="49">
        <f>WORKDAY(F21,1,Feriados_BO_2026)</f>
        <v>46204</v>
      </c>
      <c r="E22" s="51">
        <v>9</v>
      </c>
      <c r="F22" s="50">
        <f>WORKDAY(D22,E22-1,Feriados_BO_2026)</f>
        <v>46216</v>
      </c>
      <c r="G22" s="68">
        <v>46125</v>
      </c>
      <c r="H22" s="68"/>
      <c r="I22" s="84">
        <f ca="1">IF($H22&lt;&gt;"",SIGN($H22-$F22)*(NETWORKDAYS(MIN($F22,$H22),MAX($F22,$H22),Feriados_BO_2026)-1),IF($G22&lt;&gt;"",IF(TODAY()&gt;$F22,NETWORKDAYS($F22,TODAY(),Feriados_BO_2026)-1,0),IF(TODAY()&gt;$D22,NETWORKDAYS($D22,TODAY(),Feriados_BO_2026)-1,0)))</f>
        <v>0</v>
      </c>
      <c r="J22" s="52">
        <v>8.3000000000000004E-2</v>
      </c>
      <c r="K22" s="53">
        <f>SUM(J$5:J22)</f>
        <v>0.71849999999999992</v>
      </c>
      <c r="L22" s="55" t="s">
        <v>79</v>
      </c>
      <c r="M22" s="56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57"/>
      <c r="BF22" s="57"/>
      <c r="BG22" s="57"/>
      <c r="BH22" s="57"/>
      <c r="BI22" s="57"/>
      <c r="BJ22" s="57"/>
      <c r="BK22" s="57"/>
      <c r="BL22" s="57"/>
      <c r="BM22" s="57"/>
      <c r="BN22" s="57"/>
      <c r="BO22" s="57"/>
      <c r="BP22" s="57"/>
      <c r="BQ22" s="57"/>
      <c r="BR22" s="57"/>
      <c r="BS22" s="57"/>
      <c r="BT22" s="57"/>
      <c r="BU22" s="57"/>
      <c r="BV22" s="57"/>
      <c r="BW22" s="57"/>
      <c r="BX22" s="57"/>
      <c r="BY22" s="57"/>
      <c r="BZ22" s="57"/>
      <c r="CA22" s="57"/>
      <c r="CB22" s="57"/>
      <c r="CC22" s="57"/>
      <c r="CD22" s="57"/>
      <c r="CE22" s="57"/>
      <c r="CF22" s="57"/>
      <c r="CG22" s="57"/>
      <c r="CH22" s="57"/>
      <c r="CI22" s="57"/>
      <c r="CJ22" s="57"/>
      <c r="CK22" s="57"/>
      <c r="CL22" s="57"/>
      <c r="CM22" s="57"/>
      <c r="CN22" s="57"/>
      <c r="CO22" s="57"/>
      <c r="CP22" s="57"/>
      <c r="CQ22" s="57"/>
      <c r="CR22" s="57"/>
      <c r="CS22" s="57"/>
      <c r="CT22" s="57"/>
      <c r="CU22" s="57"/>
      <c r="CV22" s="57"/>
      <c r="CW22" s="57"/>
      <c r="CX22" s="57"/>
      <c r="CY22" s="57"/>
      <c r="CZ22" s="57"/>
      <c r="DA22" s="57"/>
      <c r="DB22" s="57"/>
      <c r="DC22" s="57"/>
      <c r="DD22" s="57"/>
      <c r="DE22" s="57"/>
      <c r="DF22" s="57"/>
      <c r="DG22" s="57"/>
      <c r="DH22" s="57"/>
      <c r="DI22" s="57"/>
      <c r="DJ22" s="57"/>
      <c r="DK22" s="57"/>
      <c r="DL22" s="57"/>
      <c r="DM22" s="57"/>
      <c r="DN22" s="57"/>
      <c r="DO22" s="57"/>
      <c r="DP22" s="57"/>
      <c r="DQ22" s="57"/>
      <c r="DR22" s="57"/>
      <c r="DS22" s="57"/>
      <c r="DT22" s="57"/>
      <c r="DU22" s="57"/>
      <c r="DV22" s="57"/>
      <c r="DW22" s="57"/>
      <c r="DX22" s="57"/>
      <c r="DY22" s="57"/>
      <c r="DZ22" s="57"/>
      <c r="EA22" s="57"/>
      <c r="EB22" s="57"/>
      <c r="EC22" s="57"/>
      <c r="ED22" s="57"/>
      <c r="EE22" s="57"/>
      <c r="EF22" s="57"/>
      <c r="EG22" s="57"/>
      <c r="EH22" s="57"/>
      <c r="EI22" s="57"/>
      <c r="EJ22" s="57"/>
      <c r="EK22" s="57"/>
      <c r="EL22" s="57"/>
      <c r="EM22" s="57"/>
      <c r="EN22" s="57"/>
      <c r="EO22" s="57"/>
      <c r="EP22" s="57"/>
      <c r="EQ22" s="57"/>
      <c r="ER22" s="57"/>
      <c r="ES22" s="57"/>
      <c r="ET22" s="57"/>
      <c r="EU22" s="57"/>
      <c r="EV22" s="57"/>
      <c r="EW22" s="57"/>
      <c r="EX22" s="57"/>
      <c r="EY22" s="57"/>
      <c r="EZ22" s="57"/>
      <c r="FA22" s="57"/>
      <c r="FB22" s="57"/>
      <c r="FC22" s="57"/>
      <c r="FD22" s="57"/>
      <c r="FE22" s="57"/>
      <c r="FF22" s="57"/>
      <c r="FG22" s="57"/>
      <c r="FH22" s="57"/>
      <c r="FI22" s="57"/>
      <c r="FJ22" s="57"/>
      <c r="FK22" s="57"/>
      <c r="FL22" s="57"/>
      <c r="FM22" s="57"/>
      <c r="FN22" s="57"/>
      <c r="FO22" s="57"/>
      <c r="FP22" s="57"/>
      <c r="FQ22" s="57"/>
      <c r="FR22" s="57"/>
      <c r="FS22" s="57"/>
      <c r="FT22" s="57"/>
      <c r="FU22" s="57"/>
      <c r="FV22" s="57"/>
      <c r="FW22" s="57"/>
      <c r="FX22" s="57"/>
      <c r="FY22" s="57"/>
      <c r="FZ22" s="57"/>
      <c r="GA22" s="57"/>
      <c r="GB22" s="57"/>
      <c r="GC22" s="57"/>
      <c r="GD22" s="57"/>
      <c r="GE22" s="57"/>
      <c r="GF22" s="57"/>
      <c r="GG22" s="57"/>
      <c r="GH22" s="57"/>
      <c r="GI22" s="57"/>
      <c r="GJ22" s="57"/>
      <c r="GK22" s="57"/>
      <c r="GL22" s="57"/>
      <c r="GM22" s="57"/>
      <c r="GN22" s="57"/>
      <c r="GO22" s="57"/>
      <c r="GP22" s="57"/>
      <c r="GQ22" s="57"/>
      <c r="GR22" s="57"/>
      <c r="GS22" s="57"/>
      <c r="GT22" s="57"/>
      <c r="GU22" s="57"/>
      <c r="GV22" s="57"/>
      <c r="GW22" s="57"/>
      <c r="GX22" s="57"/>
      <c r="GY22" s="57"/>
      <c r="GZ22" s="57"/>
      <c r="HA22" s="57"/>
      <c r="HB22" s="57"/>
      <c r="HC22" s="57"/>
      <c r="HD22" s="57"/>
      <c r="HE22" s="57"/>
      <c r="HF22" s="57"/>
      <c r="HG22" s="57"/>
      <c r="HH22" s="57"/>
      <c r="HI22" s="57"/>
      <c r="HJ22" s="57"/>
      <c r="HK22" s="57"/>
      <c r="HL22" s="57"/>
      <c r="HM22" s="57"/>
      <c r="HN22" s="57"/>
      <c r="HO22" s="57"/>
      <c r="HP22" s="57"/>
      <c r="HQ22" s="57"/>
      <c r="HR22" s="57"/>
      <c r="HS22" s="57"/>
      <c r="HT22" s="57"/>
      <c r="HU22" s="57"/>
      <c r="HV22" s="57"/>
      <c r="HW22" s="57"/>
      <c r="HX22" s="57"/>
      <c r="HY22" s="57"/>
      <c r="HZ22" s="57"/>
      <c r="IA22" s="57"/>
      <c r="IB22" s="57"/>
      <c r="IC22" s="57"/>
      <c r="ID22" s="57"/>
      <c r="IE22" s="57"/>
      <c r="IF22" s="57"/>
      <c r="IG22" s="57"/>
      <c r="IH22" s="57"/>
      <c r="II22" s="57"/>
      <c r="IJ22" s="57"/>
      <c r="IK22" s="57"/>
      <c r="IL22" s="57"/>
      <c r="IM22" s="57"/>
      <c r="IN22" s="57"/>
      <c r="IO22" s="57"/>
      <c r="IP22" s="57"/>
      <c r="IQ22" s="57"/>
      <c r="IR22" s="57"/>
      <c r="IS22" s="57"/>
      <c r="IT22" s="57"/>
      <c r="IU22" s="57"/>
      <c r="IV22" s="57"/>
      <c r="IW22" s="57"/>
      <c r="IX22" s="57"/>
      <c r="IY22" s="57"/>
      <c r="IZ22" s="57"/>
      <c r="JA22" s="57"/>
      <c r="JB22" s="57"/>
      <c r="JC22" s="57"/>
      <c r="JD22" s="57"/>
      <c r="JE22" s="57"/>
      <c r="JF22" s="57"/>
      <c r="JG22" s="57"/>
      <c r="JH22" s="57"/>
      <c r="JI22" s="57"/>
      <c r="JJ22" s="57"/>
      <c r="JK22" s="57"/>
      <c r="JL22" s="58"/>
    </row>
    <row r="23" spans="1:272" ht="16.95" customHeight="1" x14ac:dyDescent="0.3">
      <c r="A23" s="133" t="s">
        <v>85</v>
      </c>
      <c r="B23" s="133"/>
      <c r="C23" s="133"/>
      <c r="D23" s="133"/>
      <c r="E23" s="133"/>
      <c r="F23" s="133"/>
      <c r="G23" s="124"/>
      <c r="H23" s="124"/>
      <c r="I23" s="125"/>
      <c r="J23" s="133"/>
      <c r="K23" s="133"/>
      <c r="L23" s="133"/>
      <c r="M23" s="65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6"/>
      <c r="BF23" s="66"/>
      <c r="BG23" s="66"/>
      <c r="BH23" s="66"/>
      <c r="BI23" s="66"/>
      <c r="BJ23" s="66"/>
      <c r="BK23" s="66"/>
      <c r="BL23" s="66"/>
      <c r="BM23" s="66"/>
      <c r="BN23" s="66"/>
      <c r="BO23" s="66"/>
      <c r="BP23" s="66"/>
      <c r="BQ23" s="66"/>
      <c r="BR23" s="66"/>
      <c r="BS23" s="66"/>
      <c r="BT23" s="66"/>
      <c r="BU23" s="66"/>
      <c r="BV23" s="66"/>
      <c r="BW23" s="66"/>
      <c r="BX23" s="66"/>
      <c r="BY23" s="66"/>
      <c r="BZ23" s="66"/>
      <c r="CA23" s="66"/>
      <c r="CB23" s="66"/>
      <c r="CC23" s="66"/>
      <c r="CD23" s="66"/>
      <c r="CE23" s="66"/>
      <c r="CF23" s="66"/>
      <c r="CG23" s="66"/>
      <c r="CH23" s="66"/>
      <c r="CI23" s="66"/>
      <c r="CJ23" s="66"/>
      <c r="CK23" s="66"/>
      <c r="CL23" s="66"/>
      <c r="CM23" s="66"/>
      <c r="CN23" s="66"/>
      <c r="CO23" s="66"/>
      <c r="CP23" s="66"/>
      <c r="CQ23" s="66"/>
      <c r="CR23" s="66"/>
      <c r="CS23" s="66"/>
      <c r="CT23" s="66"/>
      <c r="CU23" s="66"/>
      <c r="CV23" s="66"/>
      <c r="CW23" s="66"/>
      <c r="CX23" s="66"/>
      <c r="CY23" s="66"/>
      <c r="CZ23" s="66"/>
      <c r="DA23" s="66"/>
      <c r="DB23" s="66"/>
      <c r="DC23" s="66"/>
      <c r="DD23" s="66"/>
      <c r="DE23" s="66"/>
      <c r="DF23" s="66"/>
      <c r="DG23" s="66"/>
      <c r="DH23" s="66"/>
      <c r="DI23" s="66"/>
      <c r="DJ23" s="66"/>
      <c r="DK23" s="66"/>
      <c r="DL23" s="66"/>
      <c r="DM23" s="66"/>
      <c r="DN23" s="66"/>
      <c r="DO23" s="66"/>
      <c r="DP23" s="66"/>
      <c r="DQ23" s="66"/>
      <c r="DR23" s="66"/>
      <c r="DS23" s="66"/>
      <c r="DT23" s="66"/>
      <c r="DU23" s="66"/>
      <c r="DV23" s="66"/>
      <c r="DW23" s="66"/>
      <c r="DX23" s="66"/>
      <c r="DY23" s="66"/>
      <c r="DZ23" s="66"/>
      <c r="EA23" s="66"/>
      <c r="EB23" s="66"/>
      <c r="EC23" s="66"/>
      <c r="ED23" s="66"/>
      <c r="EE23" s="66"/>
      <c r="EF23" s="66"/>
      <c r="EG23" s="66"/>
      <c r="EH23" s="66"/>
      <c r="EI23" s="66"/>
      <c r="EJ23" s="66"/>
      <c r="EK23" s="66"/>
      <c r="EL23" s="66"/>
      <c r="EM23" s="66"/>
      <c r="EN23" s="66"/>
      <c r="EO23" s="66"/>
      <c r="EP23" s="66"/>
      <c r="EQ23" s="66"/>
      <c r="ER23" s="66"/>
      <c r="ES23" s="66"/>
      <c r="ET23" s="66"/>
      <c r="EU23" s="66"/>
      <c r="EV23" s="66"/>
      <c r="EW23" s="66"/>
      <c r="EX23" s="66"/>
      <c r="EY23" s="66"/>
      <c r="EZ23" s="66"/>
      <c r="FA23" s="66"/>
      <c r="FB23" s="66"/>
      <c r="FC23" s="66"/>
      <c r="FD23" s="66"/>
      <c r="FE23" s="66"/>
      <c r="FF23" s="66"/>
      <c r="FG23" s="66"/>
      <c r="FH23" s="66"/>
      <c r="FI23" s="66"/>
      <c r="FJ23" s="66"/>
      <c r="FK23" s="66"/>
      <c r="FL23" s="66"/>
      <c r="FM23" s="66"/>
      <c r="FN23" s="66"/>
      <c r="FO23" s="66"/>
      <c r="FP23" s="66"/>
      <c r="FQ23" s="66"/>
      <c r="FR23" s="66"/>
      <c r="FS23" s="66"/>
      <c r="FT23" s="66"/>
      <c r="FU23" s="66"/>
      <c r="FV23" s="66"/>
      <c r="FW23" s="66"/>
      <c r="FX23" s="66"/>
      <c r="FY23" s="66"/>
      <c r="FZ23" s="66"/>
      <c r="GA23" s="66"/>
      <c r="GB23" s="66"/>
      <c r="GC23" s="66"/>
      <c r="GD23" s="66"/>
      <c r="GE23" s="66"/>
      <c r="GF23" s="66"/>
      <c r="GG23" s="66"/>
      <c r="GH23" s="66"/>
      <c r="GI23" s="66"/>
      <c r="GJ23" s="66"/>
      <c r="GK23" s="66"/>
      <c r="GL23" s="66"/>
      <c r="GM23" s="66"/>
      <c r="GN23" s="66"/>
      <c r="GO23" s="66"/>
      <c r="GP23" s="66"/>
      <c r="GQ23" s="66"/>
      <c r="GR23" s="66"/>
      <c r="GS23" s="66"/>
      <c r="GT23" s="66"/>
      <c r="GU23" s="66"/>
      <c r="GV23" s="66"/>
      <c r="GW23" s="66"/>
      <c r="GX23" s="66"/>
      <c r="GY23" s="66"/>
      <c r="GZ23" s="66"/>
      <c r="HA23" s="66"/>
      <c r="HB23" s="66"/>
      <c r="HC23" s="66"/>
      <c r="HD23" s="66"/>
      <c r="HE23" s="66"/>
      <c r="HF23" s="66"/>
      <c r="HG23" s="66"/>
      <c r="HH23" s="66"/>
      <c r="HI23" s="66"/>
      <c r="HJ23" s="66"/>
      <c r="HK23" s="66"/>
      <c r="HL23" s="66"/>
      <c r="HM23" s="66"/>
      <c r="HN23" s="66"/>
      <c r="HO23" s="66"/>
      <c r="HP23" s="66"/>
      <c r="HQ23" s="66"/>
      <c r="HR23" s="66"/>
      <c r="HS23" s="66"/>
      <c r="HT23" s="66"/>
      <c r="HU23" s="66"/>
      <c r="HV23" s="66"/>
      <c r="HW23" s="66"/>
      <c r="HX23" s="66"/>
      <c r="HY23" s="66"/>
      <c r="HZ23" s="66"/>
      <c r="IA23" s="66"/>
      <c r="IB23" s="66"/>
      <c r="IC23" s="66"/>
      <c r="ID23" s="66"/>
      <c r="IE23" s="66"/>
      <c r="IF23" s="66"/>
      <c r="IG23" s="66"/>
      <c r="IH23" s="66"/>
      <c r="II23" s="66"/>
      <c r="IJ23" s="66"/>
      <c r="IK23" s="66"/>
      <c r="IL23" s="66"/>
      <c r="IM23" s="66"/>
      <c r="IN23" s="66"/>
      <c r="IO23" s="66"/>
      <c r="IP23" s="66"/>
      <c r="IQ23" s="66"/>
      <c r="IR23" s="66"/>
      <c r="IS23" s="66"/>
      <c r="IT23" s="66"/>
      <c r="IU23" s="66"/>
      <c r="IV23" s="66"/>
      <c r="IW23" s="66"/>
      <c r="IX23" s="66"/>
      <c r="IY23" s="66"/>
      <c r="IZ23" s="66"/>
      <c r="JA23" s="66"/>
      <c r="JB23" s="66"/>
      <c r="JC23" s="66"/>
      <c r="JD23" s="66"/>
      <c r="JE23" s="66"/>
      <c r="JF23" s="66"/>
      <c r="JG23" s="66"/>
      <c r="JH23" s="66"/>
      <c r="JI23" s="66"/>
      <c r="JJ23" s="66"/>
      <c r="JK23" s="66"/>
      <c r="JL23" s="67"/>
    </row>
    <row r="24" spans="1:272" ht="16.95" customHeight="1" x14ac:dyDescent="0.3">
      <c r="B24" s="47" t="s">
        <v>86</v>
      </c>
      <c r="C24" s="48" t="s">
        <v>87</v>
      </c>
      <c r="D24" s="49">
        <f>WORKDAY(F22,1,Feriados_BO_2026)</f>
        <v>46217</v>
      </c>
      <c r="E24" s="51">
        <v>1</v>
      </c>
      <c r="F24" s="50">
        <f>WORKDAY(D24,E24-1,Feriados_BO_2026)</f>
        <v>46217</v>
      </c>
      <c r="G24" s="68"/>
      <c r="H24" s="68"/>
      <c r="I24" s="84">
        <f ca="1">IF($H24&lt;&gt;"",SIGN($H24-$F24)*(NETWORKDAYS(MIN($F24,$H24),MAX($F24,$H24),Feriados_BO_2026)-1),IF($G24&lt;&gt;"",IF(TODAY()&gt;$F24,NETWORKDAYS($F24,TODAY(),Feriados_BO_2026)-1,0),IF(TODAY()&gt;$D24,NETWORKDAYS($D24,TODAY(),Feriados_BO_2026)-1,0)))</f>
        <v>0</v>
      </c>
      <c r="J24" s="52">
        <v>4.2000000000000003E-2</v>
      </c>
      <c r="K24" s="53">
        <f>SUM(J$5:J24)</f>
        <v>0.76049999999999995</v>
      </c>
      <c r="L24" s="55" t="s">
        <v>79</v>
      </c>
      <c r="M24" s="56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57"/>
      <c r="BF24" s="57"/>
      <c r="BG24" s="57"/>
      <c r="BH24" s="57"/>
      <c r="BI24" s="57"/>
      <c r="BJ24" s="57"/>
      <c r="BK24" s="57"/>
      <c r="BL24" s="57"/>
      <c r="BM24" s="57"/>
      <c r="BN24" s="57"/>
      <c r="BO24" s="57"/>
      <c r="BP24" s="57"/>
      <c r="BQ24" s="57"/>
      <c r="BR24" s="57"/>
      <c r="BS24" s="57"/>
      <c r="BT24" s="57"/>
      <c r="BU24" s="57"/>
      <c r="BV24" s="57"/>
      <c r="BW24" s="57"/>
      <c r="BX24" s="57"/>
      <c r="BY24" s="57"/>
      <c r="BZ24" s="57"/>
      <c r="CA24" s="57"/>
      <c r="CB24" s="57"/>
      <c r="CC24" s="57"/>
      <c r="CD24" s="57"/>
      <c r="CE24" s="57"/>
      <c r="CF24" s="57"/>
      <c r="CG24" s="57"/>
      <c r="CH24" s="57"/>
      <c r="CI24" s="57"/>
      <c r="CJ24" s="57"/>
      <c r="CK24" s="57"/>
      <c r="CL24" s="57"/>
      <c r="CM24" s="57"/>
      <c r="CN24" s="57"/>
      <c r="CO24" s="57"/>
      <c r="CP24" s="57"/>
      <c r="CQ24" s="57"/>
      <c r="CR24" s="57"/>
      <c r="CS24" s="57"/>
      <c r="CT24" s="57"/>
      <c r="CU24" s="57"/>
      <c r="CV24" s="57"/>
      <c r="CW24" s="57"/>
      <c r="CX24" s="57"/>
      <c r="CY24" s="57"/>
      <c r="CZ24" s="57"/>
      <c r="DA24" s="57"/>
      <c r="DB24" s="57"/>
      <c r="DC24" s="57"/>
      <c r="DD24" s="57"/>
      <c r="DE24" s="57"/>
      <c r="DF24" s="57"/>
      <c r="DG24" s="57"/>
      <c r="DH24" s="57"/>
      <c r="DI24" s="57"/>
      <c r="DJ24" s="57"/>
      <c r="DK24" s="57"/>
      <c r="DL24" s="57"/>
      <c r="DM24" s="57"/>
      <c r="DN24" s="57"/>
      <c r="DO24" s="57"/>
      <c r="DP24" s="57"/>
      <c r="DQ24" s="57"/>
      <c r="DR24" s="57"/>
      <c r="DS24" s="57"/>
      <c r="DT24" s="57"/>
      <c r="DU24" s="57"/>
      <c r="DV24" s="57"/>
      <c r="DW24" s="57"/>
      <c r="DX24" s="57"/>
      <c r="DY24" s="57"/>
      <c r="DZ24" s="57"/>
      <c r="EA24" s="57"/>
      <c r="EB24" s="57"/>
      <c r="EC24" s="57"/>
      <c r="ED24" s="57"/>
      <c r="EE24" s="57"/>
      <c r="EF24" s="57"/>
      <c r="EG24" s="57"/>
      <c r="EH24" s="57"/>
      <c r="EI24" s="57"/>
      <c r="EJ24" s="57"/>
      <c r="EK24" s="57"/>
      <c r="EL24" s="57"/>
      <c r="EM24" s="57"/>
      <c r="EN24" s="57"/>
      <c r="EO24" s="57"/>
      <c r="EP24" s="57"/>
      <c r="EQ24" s="57"/>
      <c r="ER24" s="57"/>
      <c r="ES24" s="57"/>
      <c r="ET24" s="57"/>
      <c r="EU24" s="57"/>
      <c r="EV24" s="57"/>
      <c r="EW24" s="57"/>
      <c r="EX24" s="57"/>
      <c r="EY24" s="57"/>
      <c r="EZ24" s="57"/>
      <c r="FA24" s="57"/>
      <c r="FB24" s="57"/>
      <c r="FC24" s="57"/>
      <c r="FD24" s="57"/>
      <c r="FE24" s="57"/>
      <c r="FF24" s="57"/>
      <c r="FG24" s="57"/>
      <c r="FH24" s="57"/>
      <c r="FI24" s="57"/>
      <c r="FJ24" s="57"/>
      <c r="FK24" s="57"/>
      <c r="FL24" s="57"/>
      <c r="FM24" s="57"/>
      <c r="FN24" s="57"/>
      <c r="FO24" s="57"/>
      <c r="FP24" s="57"/>
      <c r="FQ24" s="57"/>
      <c r="FR24" s="57"/>
      <c r="FS24" s="57"/>
      <c r="FT24" s="57"/>
      <c r="FU24" s="57"/>
      <c r="FV24" s="57"/>
      <c r="FW24" s="57"/>
      <c r="FX24" s="57"/>
      <c r="FY24" s="57"/>
      <c r="FZ24" s="57"/>
      <c r="GA24" s="57"/>
      <c r="GB24" s="57"/>
      <c r="GC24" s="57"/>
      <c r="GD24" s="57"/>
      <c r="GE24" s="57"/>
      <c r="GF24" s="57"/>
      <c r="GG24" s="57"/>
      <c r="GH24" s="57"/>
      <c r="GI24" s="57"/>
      <c r="GJ24" s="57"/>
      <c r="GK24" s="57"/>
      <c r="GL24" s="57"/>
      <c r="GM24" s="57"/>
      <c r="GN24" s="57"/>
      <c r="GO24" s="57"/>
      <c r="GP24" s="57"/>
      <c r="GQ24" s="57"/>
      <c r="GR24" s="57"/>
      <c r="GS24" s="57"/>
      <c r="GT24" s="57"/>
      <c r="GU24" s="57"/>
      <c r="GV24" s="57"/>
      <c r="GW24" s="57"/>
      <c r="GX24" s="57"/>
      <c r="GY24" s="57"/>
      <c r="GZ24" s="57"/>
      <c r="HA24" s="57"/>
      <c r="HB24" s="57"/>
      <c r="HC24" s="57"/>
      <c r="HD24" s="57"/>
      <c r="HE24" s="57"/>
      <c r="HF24" s="57"/>
      <c r="HG24" s="57"/>
      <c r="HH24" s="57"/>
      <c r="HI24" s="57"/>
      <c r="HJ24" s="57"/>
      <c r="HK24" s="57"/>
      <c r="HL24" s="57"/>
      <c r="HM24" s="57"/>
      <c r="HN24" s="57"/>
      <c r="HO24" s="57"/>
      <c r="HP24" s="57"/>
      <c r="HQ24" s="57"/>
      <c r="HR24" s="57"/>
      <c r="HS24" s="57"/>
      <c r="HT24" s="57"/>
      <c r="HU24" s="57"/>
      <c r="HV24" s="57"/>
      <c r="HW24" s="57"/>
      <c r="HX24" s="57"/>
      <c r="HY24" s="57"/>
      <c r="HZ24" s="57"/>
      <c r="IA24" s="57"/>
      <c r="IB24" s="57"/>
      <c r="IC24" s="57"/>
      <c r="ID24" s="57"/>
      <c r="IE24" s="57"/>
      <c r="IF24" s="57"/>
      <c r="IG24" s="57"/>
      <c r="IH24" s="57"/>
      <c r="II24" s="57"/>
      <c r="IJ24" s="57"/>
      <c r="IK24" s="57"/>
      <c r="IL24" s="57"/>
      <c r="IM24" s="57"/>
      <c r="IN24" s="57"/>
      <c r="IO24" s="57"/>
      <c r="IP24" s="57"/>
      <c r="IQ24" s="57"/>
      <c r="IR24" s="57"/>
      <c r="IS24" s="57"/>
      <c r="IT24" s="57"/>
      <c r="IU24" s="57"/>
      <c r="IV24" s="57"/>
      <c r="IW24" s="57"/>
      <c r="IX24" s="57"/>
      <c r="IY24" s="57"/>
      <c r="IZ24" s="57"/>
      <c r="JA24" s="57"/>
      <c r="JB24" s="57"/>
      <c r="JC24" s="57"/>
      <c r="JD24" s="57"/>
      <c r="JE24" s="57"/>
      <c r="JF24" s="57"/>
      <c r="JG24" s="57"/>
      <c r="JH24" s="57"/>
      <c r="JI24" s="57"/>
      <c r="JJ24" s="57"/>
      <c r="JK24" s="57"/>
      <c r="JL24" s="58"/>
    </row>
    <row r="25" spans="1:272" ht="16.95" customHeight="1" x14ac:dyDescent="0.3">
      <c r="B25" s="47" t="s">
        <v>88</v>
      </c>
      <c r="C25" s="48" t="s">
        <v>89</v>
      </c>
      <c r="D25" s="49">
        <f>WORKDAY(F24,1,Feriados_BO_2026)</f>
        <v>46218</v>
      </c>
      <c r="E25" s="51">
        <v>2</v>
      </c>
      <c r="F25" s="50">
        <f>WORKDAY(D25,E25-1,Feriados_BO_2026)</f>
        <v>46219</v>
      </c>
      <c r="G25" s="68"/>
      <c r="H25" s="68"/>
      <c r="I25" s="84">
        <f ca="1">IF($H25&lt;&gt;"",SIGN($H25-$F25)*(NETWORKDAYS(MIN($F25,$H25),MAX($F25,$H25),Feriados_BO_2026)-1),IF($G25&lt;&gt;"",IF(TODAY()&gt;$F25,NETWORKDAYS($F25,TODAY(),Feriados_BO_2026)-1,0),IF(TODAY()&gt;$D25,NETWORKDAYS($D25,TODAY(),Feriados_BO_2026)-1,0)))</f>
        <v>0</v>
      </c>
      <c r="J25" s="52">
        <v>4.2000000000000003E-2</v>
      </c>
      <c r="K25" s="53">
        <f>SUM(J$5:J25)</f>
        <v>0.80249999999999999</v>
      </c>
      <c r="L25" s="55" t="s">
        <v>79</v>
      </c>
      <c r="M25" s="56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57"/>
      <c r="BL25" s="57"/>
      <c r="BM25" s="57"/>
      <c r="BN25" s="57"/>
      <c r="BO25" s="57"/>
      <c r="BP25" s="57"/>
      <c r="BQ25" s="57"/>
      <c r="BR25" s="57"/>
      <c r="BS25" s="57"/>
      <c r="BT25" s="57"/>
      <c r="BU25" s="57"/>
      <c r="BV25" s="57"/>
      <c r="BW25" s="57"/>
      <c r="BX25" s="57"/>
      <c r="BY25" s="57"/>
      <c r="BZ25" s="57"/>
      <c r="CA25" s="57"/>
      <c r="CB25" s="57"/>
      <c r="CC25" s="57"/>
      <c r="CD25" s="57"/>
      <c r="CE25" s="57"/>
      <c r="CF25" s="57"/>
      <c r="CG25" s="57"/>
      <c r="CH25" s="57"/>
      <c r="CI25" s="57"/>
      <c r="CJ25" s="57"/>
      <c r="CK25" s="57"/>
      <c r="CL25" s="57"/>
      <c r="CM25" s="57"/>
      <c r="CN25" s="57"/>
      <c r="CO25" s="57"/>
      <c r="CP25" s="57"/>
      <c r="CQ25" s="57"/>
      <c r="CR25" s="57"/>
      <c r="CS25" s="57"/>
      <c r="CT25" s="57"/>
      <c r="CU25" s="57"/>
      <c r="CV25" s="57"/>
      <c r="CW25" s="57"/>
      <c r="CX25" s="57"/>
      <c r="CY25" s="57"/>
      <c r="CZ25" s="57"/>
      <c r="DA25" s="57"/>
      <c r="DB25" s="57"/>
      <c r="DC25" s="57"/>
      <c r="DD25" s="57"/>
      <c r="DE25" s="57"/>
      <c r="DF25" s="57"/>
      <c r="DG25" s="57"/>
      <c r="DH25" s="57"/>
      <c r="DI25" s="57"/>
      <c r="DJ25" s="57"/>
      <c r="DK25" s="57"/>
      <c r="DL25" s="57"/>
      <c r="DM25" s="57"/>
      <c r="DN25" s="57"/>
      <c r="DO25" s="57"/>
      <c r="DP25" s="57"/>
      <c r="DQ25" s="57"/>
      <c r="DR25" s="57"/>
      <c r="DS25" s="57"/>
      <c r="DT25" s="57"/>
      <c r="DU25" s="57"/>
      <c r="DV25" s="57"/>
      <c r="DW25" s="57"/>
      <c r="DX25" s="57"/>
      <c r="DY25" s="57"/>
      <c r="DZ25" s="57"/>
      <c r="EA25" s="57"/>
      <c r="EB25" s="57"/>
      <c r="EC25" s="57"/>
      <c r="ED25" s="57"/>
      <c r="EE25" s="57"/>
      <c r="EF25" s="57"/>
      <c r="EG25" s="57"/>
      <c r="EH25" s="57"/>
      <c r="EI25" s="57"/>
      <c r="EJ25" s="57"/>
      <c r="EK25" s="57"/>
      <c r="EL25" s="57"/>
      <c r="EM25" s="57"/>
      <c r="EN25" s="57"/>
      <c r="EO25" s="57"/>
      <c r="EP25" s="57"/>
      <c r="EQ25" s="57"/>
      <c r="ER25" s="57"/>
      <c r="ES25" s="57"/>
      <c r="ET25" s="57"/>
      <c r="EU25" s="57"/>
      <c r="EV25" s="57"/>
      <c r="EW25" s="57"/>
      <c r="EX25" s="57"/>
      <c r="EY25" s="57"/>
      <c r="EZ25" s="57"/>
      <c r="FA25" s="57"/>
      <c r="FB25" s="57"/>
      <c r="FC25" s="57"/>
      <c r="FD25" s="57"/>
      <c r="FE25" s="57"/>
      <c r="FF25" s="57"/>
      <c r="FG25" s="57"/>
      <c r="FH25" s="57"/>
      <c r="FI25" s="57"/>
      <c r="FJ25" s="57"/>
      <c r="FK25" s="57"/>
      <c r="FL25" s="57"/>
      <c r="FM25" s="57"/>
      <c r="FN25" s="57"/>
      <c r="FO25" s="57"/>
      <c r="FP25" s="57"/>
      <c r="FQ25" s="57"/>
      <c r="FR25" s="57"/>
      <c r="FS25" s="57"/>
      <c r="FT25" s="57"/>
      <c r="FU25" s="57"/>
      <c r="FV25" s="57"/>
      <c r="FW25" s="57"/>
      <c r="FX25" s="57"/>
      <c r="FY25" s="57"/>
      <c r="FZ25" s="57"/>
      <c r="GA25" s="57"/>
      <c r="GB25" s="57"/>
      <c r="GC25" s="57"/>
      <c r="GD25" s="57"/>
      <c r="GE25" s="57"/>
      <c r="GF25" s="57"/>
      <c r="GG25" s="57"/>
      <c r="GH25" s="57"/>
      <c r="GI25" s="57"/>
      <c r="GJ25" s="57"/>
      <c r="GK25" s="57"/>
      <c r="GL25" s="57"/>
      <c r="GM25" s="57"/>
      <c r="GN25" s="57"/>
      <c r="GO25" s="57"/>
      <c r="GP25" s="57"/>
      <c r="GQ25" s="57"/>
      <c r="GR25" s="57"/>
      <c r="GS25" s="57"/>
      <c r="GT25" s="57"/>
      <c r="GU25" s="57"/>
      <c r="GV25" s="57"/>
      <c r="GW25" s="57"/>
      <c r="GX25" s="57"/>
      <c r="GY25" s="57"/>
      <c r="GZ25" s="57"/>
      <c r="HA25" s="57"/>
      <c r="HB25" s="57"/>
      <c r="HC25" s="57"/>
      <c r="HD25" s="57"/>
      <c r="HE25" s="57"/>
      <c r="HF25" s="57"/>
      <c r="HG25" s="57"/>
      <c r="HH25" s="57"/>
      <c r="HI25" s="57"/>
      <c r="HJ25" s="57"/>
      <c r="HK25" s="57"/>
      <c r="HL25" s="57"/>
      <c r="HM25" s="57"/>
      <c r="HN25" s="57"/>
      <c r="HO25" s="57"/>
      <c r="HP25" s="57"/>
      <c r="HQ25" s="57"/>
      <c r="HR25" s="57"/>
      <c r="HS25" s="57"/>
      <c r="HT25" s="57"/>
      <c r="HU25" s="57"/>
      <c r="HV25" s="57"/>
      <c r="HW25" s="57"/>
      <c r="HX25" s="57"/>
      <c r="HY25" s="57"/>
      <c r="HZ25" s="57"/>
      <c r="IA25" s="57"/>
      <c r="IB25" s="57"/>
      <c r="IC25" s="57"/>
      <c r="ID25" s="57"/>
      <c r="IE25" s="57"/>
      <c r="IF25" s="57"/>
      <c r="IG25" s="57"/>
      <c r="IH25" s="57"/>
      <c r="II25" s="57"/>
      <c r="IJ25" s="57"/>
      <c r="IK25" s="57"/>
      <c r="IL25" s="57"/>
      <c r="IM25" s="57"/>
      <c r="IN25" s="57"/>
      <c r="IO25" s="57"/>
      <c r="IP25" s="57"/>
      <c r="IQ25" s="57"/>
      <c r="IR25" s="57"/>
      <c r="IS25" s="57"/>
      <c r="IT25" s="57"/>
      <c r="IU25" s="57"/>
      <c r="IV25" s="57"/>
      <c r="IW25" s="57"/>
      <c r="IX25" s="57"/>
      <c r="IY25" s="57"/>
      <c r="IZ25" s="57"/>
      <c r="JA25" s="57"/>
      <c r="JB25" s="57"/>
      <c r="JC25" s="57"/>
      <c r="JD25" s="57"/>
      <c r="JE25" s="57"/>
      <c r="JF25" s="57"/>
      <c r="JG25" s="57"/>
      <c r="JH25" s="57"/>
      <c r="JI25" s="57"/>
      <c r="JJ25" s="57"/>
      <c r="JK25" s="57"/>
      <c r="JL25" s="58"/>
    </row>
    <row r="26" spans="1:272" ht="16.95" customHeight="1" x14ac:dyDescent="0.3">
      <c r="B26" s="47" t="s">
        <v>90</v>
      </c>
      <c r="C26" s="48" t="s">
        <v>91</v>
      </c>
      <c r="D26" s="49">
        <f>WORKDAY(F25,1,Feriados_BO_2026)</f>
        <v>46220</v>
      </c>
      <c r="E26" s="51">
        <v>2</v>
      </c>
      <c r="F26" s="50">
        <f>WORKDAY(D26,E26-1,Feriados_BO_2026)</f>
        <v>46223</v>
      </c>
      <c r="G26" s="68"/>
      <c r="H26" s="68"/>
      <c r="I26" s="84">
        <f ca="1">IF($H26&lt;&gt;"",SIGN($H26-$F26)*(NETWORKDAYS(MIN($F26,$H26),MAX($F26,$H26),Feriados_BO_2026)-1),IF($G26&lt;&gt;"",IF(TODAY()&gt;$F26,NETWORKDAYS($F26,TODAY(),Feriados_BO_2026)-1,0),IF(TODAY()&gt;$D26,NETWORKDAYS($D26,TODAY(),Feriados_BO_2026)-1,0)))</f>
        <v>0</v>
      </c>
      <c r="J26" s="52">
        <v>4.2000000000000003E-2</v>
      </c>
      <c r="K26" s="53">
        <f>SUM(J$5:J26)</f>
        <v>0.84450000000000003</v>
      </c>
      <c r="L26" s="55" t="s">
        <v>79</v>
      </c>
      <c r="M26" s="56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57"/>
      <c r="BH26" s="57"/>
      <c r="BI26" s="57"/>
      <c r="BJ26" s="57"/>
      <c r="BK26" s="57"/>
      <c r="BL26" s="57"/>
      <c r="BM26" s="57"/>
      <c r="BN26" s="57"/>
      <c r="BO26" s="57"/>
      <c r="BP26" s="57"/>
      <c r="BQ26" s="57"/>
      <c r="BR26" s="57"/>
      <c r="BS26" s="57"/>
      <c r="BT26" s="57"/>
      <c r="BU26" s="57"/>
      <c r="BV26" s="57"/>
      <c r="BW26" s="57"/>
      <c r="BX26" s="57"/>
      <c r="BY26" s="57"/>
      <c r="BZ26" s="57"/>
      <c r="CA26" s="57"/>
      <c r="CB26" s="57"/>
      <c r="CC26" s="57"/>
      <c r="CD26" s="57"/>
      <c r="CE26" s="57"/>
      <c r="CF26" s="57"/>
      <c r="CG26" s="57"/>
      <c r="CH26" s="57"/>
      <c r="CI26" s="57"/>
      <c r="CJ26" s="57"/>
      <c r="CK26" s="57"/>
      <c r="CL26" s="57"/>
      <c r="CM26" s="57"/>
      <c r="CN26" s="57"/>
      <c r="CO26" s="57"/>
      <c r="CP26" s="57"/>
      <c r="CQ26" s="57"/>
      <c r="CR26" s="57"/>
      <c r="CS26" s="57"/>
      <c r="CT26" s="57"/>
      <c r="CU26" s="57"/>
      <c r="CV26" s="57"/>
      <c r="CW26" s="57"/>
      <c r="CX26" s="57"/>
      <c r="CY26" s="57"/>
      <c r="CZ26" s="57"/>
      <c r="DA26" s="57"/>
      <c r="DB26" s="57"/>
      <c r="DC26" s="57"/>
      <c r="DD26" s="57"/>
      <c r="DE26" s="57"/>
      <c r="DF26" s="57"/>
      <c r="DG26" s="57"/>
      <c r="DH26" s="57"/>
      <c r="DI26" s="57"/>
      <c r="DJ26" s="57"/>
      <c r="DK26" s="57"/>
      <c r="DL26" s="57"/>
      <c r="DM26" s="57"/>
      <c r="DN26" s="57"/>
      <c r="DO26" s="57"/>
      <c r="DP26" s="57"/>
      <c r="DQ26" s="57"/>
      <c r="DR26" s="57"/>
      <c r="DS26" s="57"/>
      <c r="DT26" s="57"/>
      <c r="DU26" s="57"/>
      <c r="DV26" s="57"/>
      <c r="DW26" s="57"/>
      <c r="DX26" s="57"/>
      <c r="DY26" s="57"/>
      <c r="DZ26" s="57"/>
      <c r="EA26" s="57"/>
      <c r="EB26" s="57"/>
      <c r="EC26" s="57"/>
      <c r="ED26" s="57"/>
      <c r="EE26" s="57"/>
      <c r="EF26" s="57"/>
      <c r="EG26" s="57"/>
      <c r="EH26" s="57"/>
      <c r="EI26" s="57"/>
      <c r="EJ26" s="57"/>
      <c r="EK26" s="57"/>
      <c r="EL26" s="57"/>
      <c r="EM26" s="57"/>
      <c r="EN26" s="57"/>
      <c r="EO26" s="57"/>
      <c r="EP26" s="57"/>
      <c r="EQ26" s="57"/>
      <c r="ER26" s="57"/>
      <c r="ES26" s="57"/>
      <c r="ET26" s="57"/>
      <c r="EU26" s="57"/>
      <c r="EV26" s="57"/>
      <c r="EW26" s="57"/>
      <c r="EX26" s="57"/>
      <c r="EY26" s="57"/>
      <c r="EZ26" s="57"/>
      <c r="FA26" s="57"/>
      <c r="FB26" s="57"/>
      <c r="FC26" s="57"/>
      <c r="FD26" s="57"/>
      <c r="FE26" s="57"/>
      <c r="FF26" s="57"/>
      <c r="FG26" s="57"/>
      <c r="FH26" s="57"/>
      <c r="FI26" s="57"/>
      <c r="FJ26" s="57"/>
      <c r="FK26" s="57"/>
      <c r="FL26" s="57"/>
      <c r="FM26" s="57"/>
      <c r="FN26" s="57"/>
      <c r="FO26" s="57"/>
      <c r="FP26" s="57"/>
      <c r="FQ26" s="57"/>
      <c r="FR26" s="57"/>
      <c r="FS26" s="57"/>
      <c r="FT26" s="57"/>
      <c r="FU26" s="57"/>
      <c r="FV26" s="57"/>
      <c r="FW26" s="57"/>
      <c r="FX26" s="57"/>
      <c r="FY26" s="57"/>
      <c r="FZ26" s="57"/>
      <c r="GA26" s="57"/>
      <c r="GB26" s="57"/>
      <c r="GC26" s="57"/>
      <c r="GD26" s="57"/>
      <c r="GE26" s="57"/>
      <c r="GF26" s="57"/>
      <c r="GG26" s="57"/>
      <c r="GH26" s="57"/>
      <c r="GI26" s="57"/>
      <c r="GJ26" s="57"/>
      <c r="GK26" s="57"/>
      <c r="GL26" s="57"/>
      <c r="GM26" s="57"/>
      <c r="GN26" s="57"/>
      <c r="GO26" s="57"/>
      <c r="GP26" s="57"/>
      <c r="GQ26" s="57"/>
      <c r="GR26" s="57"/>
      <c r="GS26" s="57"/>
      <c r="GT26" s="57"/>
      <c r="GU26" s="57"/>
      <c r="GV26" s="57"/>
      <c r="GW26" s="57"/>
      <c r="GX26" s="57"/>
      <c r="GY26" s="57"/>
      <c r="GZ26" s="57"/>
      <c r="HA26" s="57"/>
      <c r="HB26" s="57"/>
      <c r="HC26" s="57"/>
      <c r="HD26" s="57"/>
      <c r="HE26" s="57"/>
      <c r="HF26" s="57"/>
      <c r="HG26" s="57"/>
      <c r="HH26" s="57"/>
      <c r="HI26" s="57"/>
      <c r="HJ26" s="57"/>
      <c r="HK26" s="57"/>
      <c r="HL26" s="57"/>
      <c r="HM26" s="57"/>
      <c r="HN26" s="57"/>
      <c r="HO26" s="57"/>
      <c r="HP26" s="57"/>
      <c r="HQ26" s="57"/>
      <c r="HR26" s="57"/>
      <c r="HS26" s="57"/>
      <c r="HT26" s="57"/>
      <c r="HU26" s="57"/>
      <c r="HV26" s="57"/>
      <c r="HW26" s="57"/>
      <c r="HX26" s="57"/>
      <c r="HY26" s="57"/>
      <c r="HZ26" s="57"/>
      <c r="IA26" s="57"/>
      <c r="IB26" s="57"/>
      <c r="IC26" s="57"/>
      <c r="ID26" s="57"/>
      <c r="IE26" s="57"/>
      <c r="IF26" s="57"/>
      <c r="IG26" s="57"/>
      <c r="IH26" s="57"/>
      <c r="II26" s="57"/>
      <c r="IJ26" s="57"/>
      <c r="IK26" s="57"/>
      <c r="IL26" s="57"/>
      <c r="IM26" s="57"/>
      <c r="IN26" s="57"/>
      <c r="IO26" s="57"/>
      <c r="IP26" s="57"/>
      <c r="IQ26" s="57"/>
      <c r="IR26" s="57"/>
      <c r="IS26" s="57"/>
      <c r="IT26" s="57"/>
      <c r="IU26" s="57"/>
      <c r="IV26" s="57"/>
      <c r="IW26" s="57"/>
      <c r="IX26" s="57"/>
      <c r="IY26" s="57"/>
      <c r="IZ26" s="57"/>
      <c r="JA26" s="57"/>
      <c r="JB26" s="57"/>
      <c r="JC26" s="57"/>
      <c r="JD26" s="57"/>
      <c r="JE26" s="57"/>
      <c r="JF26" s="57"/>
      <c r="JG26" s="57"/>
      <c r="JH26" s="57"/>
      <c r="JI26" s="57"/>
      <c r="JJ26" s="57"/>
      <c r="JK26" s="57"/>
      <c r="JL26" s="58"/>
    </row>
    <row r="27" spans="1:272" ht="16.95" customHeight="1" x14ac:dyDescent="0.3">
      <c r="B27" s="47" t="s">
        <v>92</v>
      </c>
      <c r="C27" s="48" t="s">
        <v>93</v>
      </c>
      <c r="D27" s="49">
        <f>WORKDAY(F26,1,Feriados_BO_2026)</f>
        <v>46224</v>
      </c>
      <c r="E27" s="51">
        <v>2</v>
      </c>
      <c r="F27" s="50">
        <f>WORKDAY(D27,E27-1,Feriados_BO_2026)</f>
        <v>46225</v>
      </c>
      <c r="G27" s="68"/>
      <c r="H27" s="68"/>
      <c r="I27" s="84">
        <f ca="1">IF($H27&lt;&gt;"",SIGN($H27-$F27)*(NETWORKDAYS(MIN($F27,$H27),MAX($F27,$H27),Feriados_BO_2026)-1),IF($G27&lt;&gt;"",IF(TODAY()&gt;$F27,NETWORKDAYS($F27,TODAY(),Feriados_BO_2026)-1,0),IF(TODAY()&gt;$D27,NETWORKDAYS($D27,TODAY(),Feriados_BO_2026)-1,0)))</f>
        <v>0</v>
      </c>
      <c r="J27" s="52">
        <v>5.1999999999999998E-2</v>
      </c>
      <c r="K27" s="53">
        <f>SUM(J$5:J27)</f>
        <v>0.89650000000000007</v>
      </c>
      <c r="L27" s="55" t="s">
        <v>79</v>
      </c>
      <c r="M27" s="56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57"/>
      <c r="BI27" s="57"/>
      <c r="BJ27" s="57"/>
      <c r="BK27" s="57"/>
      <c r="BL27" s="57"/>
      <c r="BM27" s="57"/>
      <c r="BN27" s="57"/>
      <c r="BO27" s="57"/>
      <c r="BP27" s="57"/>
      <c r="BQ27" s="57"/>
      <c r="BR27" s="57"/>
      <c r="BS27" s="57"/>
      <c r="BT27" s="57"/>
      <c r="BU27" s="57"/>
      <c r="BV27" s="57"/>
      <c r="BW27" s="57"/>
      <c r="BX27" s="57"/>
      <c r="BY27" s="57"/>
      <c r="BZ27" s="57"/>
      <c r="CA27" s="57"/>
      <c r="CB27" s="57"/>
      <c r="CC27" s="57"/>
      <c r="CD27" s="57"/>
      <c r="CE27" s="57"/>
      <c r="CF27" s="57"/>
      <c r="CG27" s="57"/>
      <c r="CH27" s="57"/>
      <c r="CI27" s="57"/>
      <c r="CJ27" s="57"/>
      <c r="CK27" s="57"/>
      <c r="CL27" s="57"/>
      <c r="CM27" s="57"/>
      <c r="CN27" s="57"/>
      <c r="CO27" s="57"/>
      <c r="CP27" s="57"/>
      <c r="CQ27" s="57"/>
      <c r="CR27" s="57"/>
      <c r="CS27" s="57"/>
      <c r="CT27" s="57"/>
      <c r="CU27" s="57"/>
      <c r="CV27" s="57"/>
      <c r="CW27" s="57"/>
      <c r="CX27" s="57"/>
      <c r="CY27" s="57"/>
      <c r="CZ27" s="57"/>
      <c r="DA27" s="57"/>
      <c r="DB27" s="57"/>
      <c r="DC27" s="57"/>
      <c r="DD27" s="57"/>
      <c r="DE27" s="57"/>
      <c r="DF27" s="57"/>
      <c r="DG27" s="57"/>
      <c r="DH27" s="57"/>
      <c r="DI27" s="57"/>
      <c r="DJ27" s="57"/>
      <c r="DK27" s="57"/>
      <c r="DL27" s="57"/>
      <c r="DM27" s="57"/>
      <c r="DN27" s="57"/>
      <c r="DO27" s="57"/>
      <c r="DP27" s="57"/>
      <c r="DQ27" s="57"/>
      <c r="DR27" s="57"/>
      <c r="DS27" s="57"/>
      <c r="DT27" s="57"/>
      <c r="DU27" s="57"/>
      <c r="DV27" s="57"/>
      <c r="DW27" s="57"/>
      <c r="DX27" s="57"/>
      <c r="DY27" s="57"/>
      <c r="DZ27" s="57"/>
      <c r="EA27" s="57"/>
      <c r="EB27" s="57"/>
      <c r="EC27" s="57"/>
      <c r="ED27" s="57"/>
      <c r="EE27" s="57"/>
      <c r="EF27" s="57"/>
      <c r="EG27" s="57"/>
      <c r="EH27" s="57"/>
      <c r="EI27" s="57"/>
      <c r="EJ27" s="57"/>
      <c r="EK27" s="57"/>
      <c r="EL27" s="57"/>
      <c r="EM27" s="57"/>
      <c r="EN27" s="57"/>
      <c r="EO27" s="57"/>
      <c r="EP27" s="57"/>
      <c r="EQ27" s="57"/>
      <c r="ER27" s="57"/>
      <c r="ES27" s="57"/>
      <c r="ET27" s="57"/>
      <c r="EU27" s="57"/>
      <c r="EV27" s="57"/>
      <c r="EW27" s="57"/>
      <c r="EX27" s="57"/>
      <c r="EY27" s="57"/>
      <c r="EZ27" s="57"/>
      <c r="FA27" s="57"/>
      <c r="FB27" s="57"/>
      <c r="FC27" s="57"/>
      <c r="FD27" s="57"/>
      <c r="FE27" s="57"/>
      <c r="FF27" s="57"/>
      <c r="FG27" s="57"/>
      <c r="FH27" s="57"/>
      <c r="FI27" s="57"/>
      <c r="FJ27" s="57"/>
      <c r="FK27" s="57"/>
      <c r="FL27" s="57"/>
      <c r="FM27" s="57"/>
      <c r="FN27" s="57"/>
      <c r="FO27" s="57"/>
      <c r="FP27" s="57"/>
      <c r="FQ27" s="57"/>
      <c r="FR27" s="57"/>
      <c r="FS27" s="57"/>
      <c r="FT27" s="57"/>
      <c r="FU27" s="57"/>
      <c r="FV27" s="57"/>
      <c r="FW27" s="57"/>
      <c r="FX27" s="57"/>
      <c r="FY27" s="57"/>
      <c r="FZ27" s="57"/>
      <c r="GA27" s="57"/>
      <c r="GB27" s="57"/>
      <c r="GC27" s="57"/>
      <c r="GD27" s="57"/>
      <c r="GE27" s="57"/>
      <c r="GF27" s="57"/>
      <c r="GG27" s="57"/>
      <c r="GH27" s="57"/>
      <c r="GI27" s="57"/>
      <c r="GJ27" s="57"/>
      <c r="GK27" s="57"/>
      <c r="GL27" s="57"/>
      <c r="GM27" s="57"/>
      <c r="GN27" s="57"/>
      <c r="GO27" s="57"/>
      <c r="GP27" s="57"/>
      <c r="GQ27" s="57"/>
      <c r="GR27" s="57"/>
      <c r="GS27" s="57"/>
      <c r="GT27" s="57"/>
      <c r="GU27" s="57"/>
      <c r="GV27" s="57"/>
      <c r="GW27" s="57"/>
      <c r="GX27" s="57"/>
      <c r="GY27" s="57"/>
      <c r="GZ27" s="57"/>
      <c r="HA27" s="57"/>
      <c r="HB27" s="57"/>
      <c r="HC27" s="57"/>
      <c r="HD27" s="57"/>
      <c r="HE27" s="57"/>
      <c r="HF27" s="57"/>
      <c r="HG27" s="57"/>
      <c r="HH27" s="57"/>
      <c r="HI27" s="57"/>
      <c r="HJ27" s="57"/>
      <c r="HK27" s="57"/>
      <c r="HL27" s="57"/>
      <c r="HM27" s="57"/>
      <c r="HN27" s="57"/>
      <c r="HO27" s="57"/>
      <c r="HP27" s="57"/>
      <c r="HQ27" s="57"/>
      <c r="HR27" s="57"/>
      <c r="HS27" s="57"/>
      <c r="HT27" s="57"/>
      <c r="HU27" s="57"/>
      <c r="HV27" s="57"/>
      <c r="HW27" s="57"/>
      <c r="HX27" s="57"/>
      <c r="HY27" s="57"/>
      <c r="HZ27" s="57"/>
      <c r="IA27" s="57"/>
      <c r="IB27" s="57"/>
      <c r="IC27" s="57"/>
      <c r="ID27" s="57"/>
      <c r="IE27" s="57"/>
      <c r="IF27" s="57"/>
      <c r="IG27" s="57"/>
      <c r="IH27" s="57"/>
      <c r="II27" s="57"/>
      <c r="IJ27" s="57"/>
      <c r="IK27" s="57"/>
      <c r="IL27" s="57"/>
      <c r="IM27" s="57"/>
      <c r="IN27" s="57"/>
      <c r="IO27" s="57"/>
      <c r="IP27" s="57"/>
      <c r="IQ27" s="57"/>
      <c r="IR27" s="57"/>
      <c r="IS27" s="57"/>
      <c r="IT27" s="57"/>
      <c r="IU27" s="57"/>
      <c r="IV27" s="57"/>
      <c r="IW27" s="57"/>
      <c r="IX27" s="57"/>
      <c r="IY27" s="57"/>
      <c r="IZ27" s="57"/>
      <c r="JA27" s="57"/>
      <c r="JB27" s="57"/>
      <c r="JC27" s="57"/>
      <c r="JD27" s="57"/>
      <c r="JE27" s="57"/>
      <c r="JF27" s="57"/>
      <c r="JG27" s="57"/>
      <c r="JH27" s="57"/>
      <c r="JI27" s="57"/>
      <c r="JJ27" s="57"/>
      <c r="JK27" s="57"/>
      <c r="JL27" s="58"/>
    </row>
    <row r="28" spans="1:272" ht="16.95" customHeight="1" x14ac:dyDescent="0.3">
      <c r="B28" s="47" t="s">
        <v>94</v>
      </c>
      <c r="C28" s="48" t="s">
        <v>95</v>
      </c>
      <c r="D28" s="49">
        <f>WORKDAY(F27,1,Feriados_BO_2026)</f>
        <v>46226</v>
      </c>
      <c r="E28" s="51">
        <v>3</v>
      </c>
      <c r="F28" s="50">
        <f>WORKDAY(D28,E28-1,Feriados_BO_2026)</f>
        <v>46230</v>
      </c>
      <c r="G28" s="68"/>
      <c r="H28" s="68"/>
      <c r="I28" s="84">
        <f ca="1">IF($H28&lt;&gt;"",SIGN($H28-$F28)*(NETWORKDAYS(MIN($F28,$H28),MAX($F28,$H28),Feriados_BO_2026)-1),IF($G28&lt;&gt;"",IF(TODAY()&gt;$F28,NETWORKDAYS($F28,TODAY(),Feriados_BO_2026)-1,0),IF(TODAY()&gt;$D28,NETWORKDAYS($D28,TODAY(),Feriados_BO_2026)-1,0)))</f>
        <v>0</v>
      </c>
      <c r="J28" s="52">
        <v>3.1E-2</v>
      </c>
      <c r="K28" s="53">
        <f>SUM(J$5:J28)</f>
        <v>0.9275000000000001</v>
      </c>
      <c r="L28" s="55" t="s">
        <v>79</v>
      </c>
      <c r="M28" s="56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7"/>
      <c r="BF28" s="57"/>
      <c r="BG28" s="57"/>
      <c r="BH28" s="57"/>
      <c r="BI28" s="57"/>
      <c r="BJ28" s="57"/>
      <c r="BK28" s="57"/>
      <c r="BL28" s="57"/>
      <c r="BM28" s="57"/>
      <c r="BN28" s="57"/>
      <c r="BO28" s="57"/>
      <c r="BP28" s="57"/>
      <c r="BQ28" s="57"/>
      <c r="BR28" s="57"/>
      <c r="BS28" s="57"/>
      <c r="BT28" s="57"/>
      <c r="BU28" s="57"/>
      <c r="BV28" s="57"/>
      <c r="BW28" s="57"/>
      <c r="BX28" s="57"/>
      <c r="BY28" s="57"/>
      <c r="BZ28" s="57"/>
      <c r="CA28" s="57"/>
      <c r="CB28" s="57"/>
      <c r="CC28" s="57"/>
      <c r="CD28" s="57"/>
      <c r="CE28" s="57"/>
      <c r="CF28" s="57"/>
      <c r="CG28" s="57"/>
      <c r="CH28" s="57"/>
      <c r="CI28" s="57"/>
      <c r="CJ28" s="57"/>
      <c r="CK28" s="57"/>
      <c r="CL28" s="57"/>
      <c r="CM28" s="57"/>
      <c r="CN28" s="57"/>
      <c r="CO28" s="57"/>
      <c r="CP28" s="57"/>
      <c r="CQ28" s="57"/>
      <c r="CR28" s="57"/>
      <c r="CS28" s="57"/>
      <c r="CT28" s="57"/>
      <c r="CU28" s="57"/>
      <c r="CV28" s="57"/>
      <c r="CW28" s="57"/>
      <c r="CX28" s="57"/>
      <c r="CY28" s="57"/>
      <c r="CZ28" s="57"/>
      <c r="DA28" s="57"/>
      <c r="DB28" s="57"/>
      <c r="DC28" s="57"/>
      <c r="DD28" s="57"/>
      <c r="DE28" s="57"/>
      <c r="DF28" s="57"/>
      <c r="DG28" s="57"/>
      <c r="DH28" s="57"/>
      <c r="DI28" s="57"/>
      <c r="DJ28" s="57"/>
      <c r="DK28" s="57"/>
      <c r="DL28" s="57"/>
      <c r="DM28" s="57"/>
      <c r="DN28" s="57"/>
      <c r="DO28" s="57"/>
      <c r="DP28" s="57"/>
      <c r="DQ28" s="57"/>
      <c r="DR28" s="57"/>
      <c r="DS28" s="57"/>
      <c r="DT28" s="57"/>
      <c r="DU28" s="57"/>
      <c r="DV28" s="57"/>
      <c r="DW28" s="57"/>
      <c r="DX28" s="57"/>
      <c r="DY28" s="57"/>
      <c r="DZ28" s="57"/>
      <c r="EA28" s="57"/>
      <c r="EB28" s="57"/>
      <c r="EC28" s="57"/>
      <c r="ED28" s="57"/>
      <c r="EE28" s="57"/>
      <c r="EF28" s="57"/>
      <c r="EG28" s="57"/>
      <c r="EH28" s="57"/>
      <c r="EI28" s="57"/>
      <c r="EJ28" s="57"/>
      <c r="EK28" s="57"/>
      <c r="EL28" s="57"/>
      <c r="EM28" s="57"/>
      <c r="EN28" s="57"/>
      <c r="EO28" s="57"/>
      <c r="EP28" s="57"/>
      <c r="EQ28" s="57"/>
      <c r="ER28" s="57"/>
      <c r="ES28" s="57"/>
      <c r="ET28" s="57"/>
      <c r="EU28" s="57"/>
      <c r="EV28" s="57"/>
      <c r="EW28" s="57"/>
      <c r="EX28" s="57"/>
      <c r="EY28" s="57"/>
      <c r="EZ28" s="57"/>
      <c r="FA28" s="57"/>
      <c r="FB28" s="57"/>
      <c r="FC28" s="57"/>
      <c r="FD28" s="57"/>
      <c r="FE28" s="57"/>
      <c r="FF28" s="57"/>
      <c r="FG28" s="57"/>
      <c r="FH28" s="57"/>
      <c r="FI28" s="57"/>
      <c r="FJ28" s="57"/>
      <c r="FK28" s="57"/>
      <c r="FL28" s="57"/>
      <c r="FM28" s="57"/>
      <c r="FN28" s="57"/>
      <c r="FO28" s="57"/>
      <c r="FP28" s="57"/>
      <c r="FQ28" s="57"/>
      <c r="FR28" s="57"/>
      <c r="FS28" s="57"/>
      <c r="FT28" s="57"/>
      <c r="FU28" s="57"/>
      <c r="FV28" s="57"/>
      <c r="FW28" s="57"/>
      <c r="FX28" s="57"/>
      <c r="FY28" s="57"/>
      <c r="FZ28" s="57"/>
      <c r="GA28" s="57"/>
      <c r="GB28" s="57"/>
      <c r="GC28" s="57"/>
      <c r="GD28" s="57"/>
      <c r="GE28" s="57"/>
      <c r="GF28" s="57"/>
      <c r="GG28" s="57"/>
      <c r="GH28" s="57"/>
      <c r="GI28" s="57"/>
      <c r="GJ28" s="57"/>
      <c r="GK28" s="57"/>
      <c r="GL28" s="57"/>
      <c r="GM28" s="57"/>
      <c r="GN28" s="57"/>
      <c r="GO28" s="57"/>
      <c r="GP28" s="57"/>
      <c r="GQ28" s="57"/>
      <c r="GR28" s="57"/>
      <c r="GS28" s="57"/>
      <c r="GT28" s="57"/>
      <c r="GU28" s="57"/>
      <c r="GV28" s="57"/>
      <c r="GW28" s="57"/>
      <c r="GX28" s="57"/>
      <c r="GY28" s="57"/>
      <c r="GZ28" s="57"/>
      <c r="HA28" s="57"/>
      <c r="HB28" s="57"/>
      <c r="HC28" s="57"/>
      <c r="HD28" s="57"/>
      <c r="HE28" s="57"/>
      <c r="HF28" s="57"/>
      <c r="HG28" s="57"/>
      <c r="HH28" s="57"/>
      <c r="HI28" s="57"/>
      <c r="HJ28" s="57"/>
      <c r="HK28" s="57"/>
      <c r="HL28" s="57"/>
      <c r="HM28" s="57"/>
      <c r="HN28" s="57"/>
      <c r="HO28" s="57"/>
      <c r="HP28" s="57"/>
      <c r="HQ28" s="57"/>
      <c r="HR28" s="57"/>
      <c r="HS28" s="57"/>
      <c r="HT28" s="57"/>
      <c r="HU28" s="57"/>
      <c r="HV28" s="57"/>
      <c r="HW28" s="57"/>
      <c r="HX28" s="57"/>
      <c r="HY28" s="57"/>
      <c r="HZ28" s="57"/>
      <c r="IA28" s="57"/>
      <c r="IB28" s="57"/>
      <c r="IC28" s="57"/>
      <c r="ID28" s="57"/>
      <c r="IE28" s="57"/>
      <c r="IF28" s="57"/>
      <c r="IG28" s="57"/>
      <c r="IH28" s="57"/>
      <c r="II28" s="57"/>
      <c r="IJ28" s="57"/>
      <c r="IK28" s="57"/>
      <c r="IL28" s="57"/>
      <c r="IM28" s="57"/>
      <c r="IN28" s="57"/>
      <c r="IO28" s="57"/>
      <c r="IP28" s="57"/>
      <c r="IQ28" s="57"/>
      <c r="IR28" s="57"/>
      <c r="IS28" s="57"/>
      <c r="IT28" s="57"/>
      <c r="IU28" s="57"/>
      <c r="IV28" s="57"/>
      <c r="IW28" s="57"/>
      <c r="IX28" s="57"/>
      <c r="IY28" s="57"/>
      <c r="IZ28" s="57"/>
      <c r="JA28" s="57"/>
      <c r="JB28" s="57"/>
      <c r="JC28" s="57"/>
      <c r="JD28" s="57"/>
      <c r="JE28" s="57"/>
      <c r="JF28" s="57"/>
      <c r="JG28" s="57"/>
      <c r="JH28" s="57"/>
      <c r="JI28" s="57"/>
      <c r="JJ28" s="57"/>
      <c r="JK28" s="57"/>
      <c r="JL28" s="58"/>
    </row>
    <row r="29" spans="1:272" ht="16.95" customHeight="1" x14ac:dyDescent="0.3">
      <c r="A29" s="123" t="s">
        <v>96</v>
      </c>
      <c r="B29" s="123"/>
      <c r="C29" s="123"/>
      <c r="D29" s="123"/>
      <c r="E29" s="123"/>
      <c r="F29" s="123"/>
      <c r="G29" s="124"/>
      <c r="H29" s="124"/>
      <c r="I29" s="125"/>
      <c r="J29" s="123"/>
      <c r="K29" s="123"/>
      <c r="L29" s="123"/>
      <c r="M29" s="65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6"/>
      <c r="BF29" s="66"/>
      <c r="BG29" s="66"/>
      <c r="BH29" s="66"/>
      <c r="BI29" s="66"/>
      <c r="BJ29" s="66"/>
      <c r="BK29" s="66"/>
      <c r="BL29" s="66"/>
      <c r="BM29" s="66"/>
      <c r="BN29" s="66"/>
      <c r="BO29" s="66"/>
      <c r="BP29" s="66"/>
      <c r="BQ29" s="66"/>
      <c r="BR29" s="66"/>
      <c r="BS29" s="66"/>
      <c r="BT29" s="66"/>
      <c r="BU29" s="66"/>
      <c r="BV29" s="66"/>
      <c r="BW29" s="66"/>
      <c r="BX29" s="66"/>
      <c r="BY29" s="66"/>
      <c r="BZ29" s="66"/>
      <c r="CA29" s="66"/>
      <c r="CB29" s="66"/>
      <c r="CC29" s="66"/>
      <c r="CD29" s="66"/>
      <c r="CE29" s="66"/>
      <c r="CF29" s="66"/>
      <c r="CG29" s="66"/>
      <c r="CH29" s="66"/>
      <c r="CI29" s="66"/>
      <c r="CJ29" s="66"/>
      <c r="CK29" s="66"/>
      <c r="CL29" s="66"/>
      <c r="CM29" s="66"/>
      <c r="CN29" s="66"/>
      <c r="CO29" s="66"/>
      <c r="CP29" s="66"/>
      <c r="CQ29" s="66"/>
      <c r="CR29" s="66"/>
      <c r="CS29" s="66"/>
      <c r="CT29" s="66"/>
      <c r="CU29" s="66"/>
      <c r="CV29" s="66"/>
      <c r="CW29" s="66"/>
      <c r="CX29" s="66"/>
      <c r="CY29" s="66"/>
      <c r="CZ29" s="66"/>
      <c r="DA29" s="66"/>
      <c r="DB29" s="66"/>
      <c r="DC29" s="66"/>
      <c r="DD29" s="66"/>
      <c r="DE29" s="66"/>
      <c r="DF29" s="66"/>
      <c r="DG29" s="66"/>
      <c r="DH29" s="66"/>
      <c r="DI29" s="66"/>
      <c r="DJ29" s="66"/>
      <c r="DK29" s="66"/>
      <c r="DL29" s="66"/>
      <c r="DM29" s="66"/>
      <c r="DN29" s="66"/>
      <c r="DO29" s="66"/>
      <c r="DP29" s="66"/>
      <c r="DQ29" s="66"/>
      <c r="DR29" s="66"/>
      <c r="DS29" s="66"/>
      <c r="DT29" s="66"/>
      <c r="DU29" s="66"/>
      <c r="DV29" s="66"/>
      <c r="DW29" s="66"/>
      <c r="DX29" s="66"/>
      <c r="DY29" s="66"/>
      <c r="DZ29" s="66"/>
      <c r="EA29" s="66"/>
      <c r="EB29" s="66"/>
      <c r="EC29" s="66"/>
      <c r="ED29" s="66"/>
      <c r="EE29" s="66"/>
      <c r="EF29" s="66"/>
      <c r="EG29" s="66"/>
      <c r="EH29" s="66"/>
      <c r="EI29" s="66"/>
      <c r="EJ29" s="66"/>
      <c r="EK29" s="66"/>
      <c r="EL29" s="66"/>
      <c r="EM29" s="66"/>
      <c r="EN29" s="66"/>
      <c r="EO29" s="66"/>
      <c r="EP29" s="66"/>
      <c r="EQ29" s="66"/>
      <c r="ER29" s="66"/>
      <c r="ES29" s="66"/>
      <c r="ET29" s="66"/>
      <c r="EU29" s="66"/>
      <c r="EV29" s="66"/>
      <c r="EW29" s="66"/>
      <c r="EX29" s="66"/>
      <c r="EY29" s="66"/>
      <c r="EZ29" s="66"/>
      <c r="FA29" s="66"/>
      <c r="FB29" s="66"/>
      <c r="FC29" s="66"/>
      <c r="FD29" s="66"/>
      <c r="FE29" s="66"/>
      <c r="FF29" s="66"/>
      <c r="FG29" s="66"/>
      <c r="FH29" s="66"/>
      <c r="FI29" s="66"/>
      <c r="FJ29" s="66"/>
      <c r="FK29" s="66"/>
      <c r="FL29" s="66"/>
      <c r="FM29" s="66"/>
      <c r="FN29" s="66"/>
      <c r="FO29" s="66"/>
      <c r="FP29" s="66"/>
      <c r="FQ29" s="66"/>
      <c r="FR29" s="66"/>
      <c r="FS29" s="66"/>
      <c r="FT29" s="66"/>
      <c r="FU29" s="66"/>
      <c r="FV29" s="66"/>
      <c r="FW29" s="66"/>
      <c r="FX29" s="66"/>
      <c r="FY29" s="66"/>
      <c r="FZ29" s="66"/>
      <c r="GA29" s="66"/>
      <c r="GB29" s="66"/>
      <c r="GC29" s="66"/>
      <c r="GD29" s="66"/>
      <c r="GE29" s="66"/>
      <c r="GF29" s="66"/>
      <c r="GG29" s="66"/>
      <c r="GH29" s="66"/>
      <c r="GI29" s="66"/>
      <c r="GJ29" s="66"/>
      <c r="GK29" s="66"/>
      <c r="GL29" s="66"/>
      <c r="GM29" s="66"/>
      <c r="GN29" s="66"/>
      <c r="GO29" s="66"/>
      <c r="GP29" s="66"/>
      <c r="GQ29" s="66"/>
      <c r="GR29" s="66"/>
      <c r="GS29" s="66"/>
      <c r="GT29" s="66"/>
      <c r="GU29" s="66"/>
      <c r="GV29" s="66"/>
      <c r="GW29" s="66"/>
      <c r="GX29" s="66"/>
      <c r="GY29" s="66"/>
      <c r="GZ29" s="66"/>
      <c r="HA29" s="66"/>
      <c r="HB29" s="66"/>
      <c r="HC29" s="66"/>
      <c r="HD29" s="66"/>
      <c r="HE29" s="66"/>
      <c r="HF29" s="66"/>
      <c r="HG29" s="66"/>
      <c r="HH29" s="66"/>
      <c r="HI29" s="66"/>
      <c r="HJ29" s="66"/>
      <c r="HK29" s="66"/>
      <c r="HL29" s="66"/>
      <c r="HM29" s="66"/>
      <c r="HN29" s="66"/>
      <c r="HO29" s="66"/>
      <c r="HP29" s="66"/>
      <c r="HQ29" s="66"/>
      <c r="HR29" s="66"/>
      <c r="HS29" s="66"/>
      <c r="HT29" s="66"/>
      <c r="HU29" s="66"/>
      <c r="HV29" s="66"/>
      <c r="HW29" s="66"/>
      <c r="HX29" s="66"/>
      <c r="HY29" s="66"/>
      <c r="HZ29" s="66"/>
      <c r="IA29" s="66"/>
      <c r="IB29" s="66"/>
      <c r="IC29" s="66"/>
      <c r="ID29" s="66"/>
      <c r="IE29" s="66"/>
      <c r="IF29" s="66"/>
      <c r="IG29" s="66"/>
      <c r="IH29" s="66"/>
      <c r="II29" s="66"/>
      <c r="IJ29" s="66"/>
      <c r="IK29" s="66"/>
      <c r="IL29" s="66"/>
      <c r="IM29" s="66"/>
      <c r="IN29" s="66"/>
      <c r="IO29" s="66"/>
      <c r="IP29" s="66"/>
      <c r="IQ29" s="66"/>
      <c r="IR29" s="66"/>
      <c r="IS29" s="66"/>
      <c r="IT29" s="66"/>
      <c r="IU29" s="66"/>
      <c r="IV29" s="66"/>
      <c r="IW29" s="66"/>
      <c r="IX29" s="66"/>
      <c r="IY29" s="66"/>
      <c r="IZ29" s="66"/>
      <c r="JA29" s="66"/>
      <c r="JB29" s="66"/>
      <c r="JC29" s="66"/>
      <c r="JD29" s="66"/>
      <c r="JE29" s="66"/>
      <c r="JF29" s="66"/>
      <c r="JG29" s="66"/>
      <c r="JH29" s="66"/>
      <c r="JI29" s="66"/>
      <c r="JJ29" s="66"/>
      <c r="JK29" s="66"/>
      <c r="JL29" s="67"/>
    </row>
    <row r="30" spans="1:272" ht="16.95" customHeight="1" x14ac:dyDescent="0.3">
      <c r="B30" s="47" t="s">
        <v>97</v>
      </c>
      <c r="C30" s="48" t="s">
        <v>76</v>
      </c>
      <c r="D30" s="49">
        <f>WORKDAY(F28,1,Feriados_BO_2026)</f>
        <v>46231</v>
      </c>
      <c r="E30" s="51">
        <v>1</v>
      </c>
      <c r="F30" s="50">
        <f>WORKDAY(D30,E30-1,Feriados_BO_2026)</f>
        <v>46231</v>
      </c>
      <c r="G30" s="68"/>
      <c r="H30" s="68"/>
      <c r="I30" s="84">
        <f ca="1">IF($H30&lt;&gt;"",SIGN($H30-$F30)*(NETWORKDAYS(MIN($F30,$H30),MAX($F30,$H30),Feriados_BO_2026)-1),IF($G30&lt;&gt;"",IF(TODAY()&gt;$F30,NETWORKDAYS($F30,TODAY(),Feriados_BO_2026)-1,0),IF(TODAY()&gt;$D30,NETWORKDAYS($D30,TODAY(),Feriados_BO_2026)-1,0)))</f>
        <v>0</v>
      </c>
      <c r="J30" s="52">
        <v>2.1000000000000001E-2</v>
      </c>
      <c r="K30" s="53">
        <f>SUM(J$5:J30)</f>
        <v>0.94850000000000012</v>
      </c>
      <c r="L30" s="55" t="s">
        <v>79</v>
      </c>
      <c r="M30" s="56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57"/>
      <c r="BF30" s="57"/>
      <c r="BG30" s="57"/>
      <c r="BH30" s="57"/>
      <c r="BI30" s="57"/>
      <c r="BJ30" s="57"/>
      <c r="BK30" s="57"/>
      <c r="BL30" s="57"/>
      <c r="BM30" s="57"/>
      <c r="BN30" s="57"/>
      <c r="BO30" s="57"/>
      <c r="BP30" s="57"/>
      <c r="BQ30" s="57"/>
      <c r="BR30" s="57"/>
      <c r="BS30" s="57"/>
      <c r="BT30" s="57"/>
      <c r="BU30" s="57"/>
      <c r="BV30" s="57"/>
      <c r="BW30" s="57"/>
      <c r="BX30" s="57"/>
      <c r="BY30" s="57"/>
      <c r="BZ30" s="57"/>
      <c r="CA30" s="57"/>
      <c r="CB30" s="57"/>
      <c r="CC30" s="57"/>
      <c r="CD30" s="57"/>
      <c r="CE30" s="57"/>
      <c r="CF30" s="57"/>
      <c r="CG30" s="57"/>
      <c r="CH30" s="57"/>
      <c r="CI30" s="57"/>
      <c r="CJ30" s="57"/>
      <c r="CK30" s="57"/>
      <c r="CL30" s="57"/>
      <c r="CM30" s="57"/>
      <c r="CN30" s="57"/>
      <c r="CO30" s="57"/>
      <c r="CP30" s="57"/>
      <c r="CQ30" s="57"/>
      <c r="CR30" s="57"/>
      <c r="CS30" s="57"/>
      <c r="CT30" s="57"/>
      <c r="CU30" s="57"/>
      <c r="CV30" s="57"/>
      <c r="CW30" s="57"/>
      <c r="CX30" s="57"/>
      <c r="CY30" s="57"/>
      <c r="CZ30" s="57"/>
      <c r="DA30" s="57"/>
      <c r="DB30" s="57"/>
      <c r="DC30" s="57"/>
      <c r="DD30" s="57"/>
      <c r="DE30" s="57"/>
      <c r="DF30" s="57"/>
      <c r="DG30" s="57"/>
      <c r="DH30" s="57"/>
      <c r="DI30" s="57"/>
      <c r="DJ30" s="57"/>
      <c r="DK30" s="57"/>
      <c r="DL30" s="57"/>
      <c r="DM30" s="57"/>
      <c r="DN30" s="57"/>
      <c r="DO30" s="57"/>
      <c r="DP30" s="57"/>
      <c r="DQ30" s="57"/>
      <c r="DR30" s="57"/>
      <c r="DS30" s="57"/>
      <c r="DT30" s="57"/>
      <c r="DU30" s="57"/>
      <c r="DV30" s="57"/>
      <c r="DW30" s="57"/>
      <c r="DX30" s="57"/>
      <c r="DY30" s="57"/>
      <c r="DZ30" s="57"/>
      <c r="EA30" s="57"/>
      <c r="EB30" s="57"/>
      <c r="EC30" s="57"/>
      <c r="ED30" s="57"/>
      <c r="EE30" s="57"/>
      <c r="EF30" s="57"/>
      <c r="EG30" s="57"/>
      <c r="EH30" s="57"/>
      <c r="EI30" s="57"/>
      <c r="EJ30" s="57"/>
      <c r="EK30" s="57"/>
      <c r="EL30" s="57"/>
      <c r="EM30" s="57"/>
      <c r="EN30" s="57"/>
      <c r="EO30" s="57"/>
      <c r="EP30" s="57"/>
      <c r="EQ30" s="57"/>
      <c r="ER30" s="57"/>
      <c r="ES30" s="57"/>
      <c r="ET30" s="57"/>
      <c r="EU30" s="57"/>
      <c r="EV30" s="57"/>
      <c r="EW30" s="57"/>
      <c r="EX30" s="57"/>
      <c r="EY30" s="57"/>
      <c r="EZ30" s="57"/>
      <c r="FA30" s="57"/>
      <c r="FB30" s="57"/>
      <c r="FC30" s="57"/>
      <c r="FD30" s="57"/>
      <c r="FE30" s="57"/>
      <c r="FF30" s="57"/>
      <c r="FG30" s="57"/>
      <c r="FH30" s="57"/>
      <c r="FI30" s="57"/>
      <c r="FJ30" s="57"/>
      <c r="FK30" s="57"/>
      <c r="FL30" s="57"/>
      <c r="FM30" s="57"/>
      <c r="FN30" s="57"/>
      <c r="FO30" s="57"/>
      <c r="FP30" s="57"/>
      <c r="FQ30" s="57"/>
      <c r="FR30" s="57"/>
      <c r="FS30" s="57"/>
      <c r="FT30" s="57"/>
      <c r="FU30" s="57"/>
      <c r="FV30" s="57"/>
      <c r="FW30" s="57"/>
      <c r="FX30" s="57"/>
      <c r="FY30" s="57"/>
      <c r="FZ30" s="57"/>
      <c r="GA30" s="57"/>
      <c r="GB30" s="57"/>
      <c r="GC30" s="57"/>
      <c r="GD30" s="57"/>
      <c r="GE30" s="57"/>
      <c r="GF30" s="57"/>
      <c r="GG30" s="57"/>
      <c r="GH30" s="57"/>
      <c r="GI30" s="57"/>
      <c r="GJ30" s="57"/>
      <c r="GK30" s="57"/>
      <c r="GL30" s="57"/>
      <c r="GM30" s="57"/>
      <c r="GN30" s="57"/>
      <c r="GO30" s="57"/>
      <c r="GP30" s="57"/>
      <c r="GQ30" s="57"/>
      <c r="GR30" s="57"/>
      <c r="GS30" s="57"/>
      <c r="GT30" s="57"/>
      <c r="GU30" s="57"/>
      <c r="GV30" s="57"/>
      <c r="GW30" s="57"/>
      <c r="GX30" s="57"/>
      <c r="GY30" s="57"/>
      <c r="GZ30" s="57"/>
      <c r="HA30" s="57"/>
      <c r="HB30" s="57"/>
      <c r="HC30" s="57"/>
      <c r="HD30" s="57"/>
      <c r="HE30" s="57"/>
      <c r="HF30" s="57"/>
      <c r="HG30" s="57"/>
      <c r="HH30" s="57"/>
      <c r="HI30" s="57"/>
      <c r="HJ30" s="57"/>
      <c r="HK30" s="57"/>
      <c r="HL30" s="57"/>
      <c r="HM30" s="57"/>
      <c r="HN30" s="57"/>
      <c r="HO30" s="57"/>
      <c r="HP30" s="57"/>
      <c r="HQ30" s="57"/>
      <c r="HR30" s="57"/>
      <c r="HS30" s="57"/>
      <c r="HT30" s="57"/>
      <c r="HU30" s="57"/>
      <c r="HV30" s="57"/>
      <c r="HW30" s="57"/>
      <c r="HX30" s="57"/>
      <c r="HY30" s="57"/>
      <c r="HZ30" s="57"/>
      <c r="IA30" s="57"/>
      <c r="IB30" s="57"/>
      <c r="IC30" s="57"/>
      <c r="ID30" s="57"/>
      <c r="IE30" s="57"/>
      <c r="IF30" s="57"/>
      <c r="IG30" s="57"/>
      <c r="IH30" s="57"/>
      <c r="II30" s="57"/>
      <c r="IJ30" s="57"/>
      <c r="IK30" s="57"/>
      <c r="IL30" s="57"/>
      <c r="IM30" s="57"/>
      <c r="IN30" s="57"/>
      <c r="IO30" s="57"/>
      <c r="IP30" s="57"/>
      <c r="IQ30" s="57"/>
      <c r="IR30" s="57"/>
      <c r="IS30" s="57"/>
      <c r="IT30" s="57"/>
      <c r="IU30" s="57"/>
      <c r="IV30" s="57"/>
      <c r="IW30" s="57"/>
      <c r="IX30" s="57"/>
      <c r="IY30" s="57"/>
      <c r="IZ30" s="57"/>
      <c r="JA30" s="57"/>
      <c r="JB30" s="57"/>
      <c r="JC30" s="57"/>
      <c r="JD30" s="57"/>
      <c r="JE30" s="57"/>
      <c r="JF30" s="57"/>
      <c r="JG30" s="57"/>
      <c r="JH30" s="57"/>
      <c r="JI30" s="57"/>
      <c r="JJ30" s="57"/>
      <c r="JK30" s="57"/>
      <c r="JL30" s="58"/>
    </row>
    <row r="31" spans="1:272" ht="16.95" customHeight="1" x14ac:dyDescent="0.3">
      <c r="B31" s="47" t="s">
        <v>98</v>
      </c>
      <c r="C31" s="48" t="s">
        <v>99</v>
      </c>
      <c r="D31" s="49">
        <f>WORKDAY(F30,1,Feriados_BO_2026)</f>
        <v>46232</v>
      </c>
      <c r="E31" s="51">
        <v>1</v>
      </c>
      <c r="F31" s="50">
        <f>WORKDAY(D31,E31-1,Feriados_BO_2026)</f>
        <v>46232</v>
      </c>
      <c r="G31" s="68"/>
      <c r="H31" s="68"/>
      <c r="I31" s="84">
        <f ca="1">IF($H31&lt;&gt;"",SIGN($H31-$F31)*(NETWORKDAYS(MIN($F31,$H31),MAX($F31,$H31),Feriados_BO_2026)-1),IF($G31&lt;&gt;"",IF(TODAY()&gt;$F31,NETWORKDAYS($F31,TODAY(),Feriados_BO_2026)-1,0),IF(TODAY()&gt;$D31,NETWORKDAYS($D31,TODAY(),Feriados_BO_2026)-1,0)))</f>
        <v>0</v>
      </c>
      <c r="J31" s="52">
        <v>3.1E-2</v>
      </c>
      <c r="K31" s="53">
        <f>SUM(J$5:J31)</f>
        <v>0.97950000000000015</v>
      </c>
      <c r="L31" s="55" t="s">
        <v>79</v>
      </c>
      <c r="M31" s="56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57"/>
      <c r="BF31" s="57"/>
      <c r="BG31" s="57"/>
      <c r="BH31" s="57"/>
      <c r="BI31" s="57"/>
      <c r="BJ31" s="57"/>
      <c r="BK31" s="57"/>
      <c r="BL31" s="57"/>
      <c r="BM31" s="57"/>
      <c r="BN31" s="57"/>
      <c r="BO31" s="57"/>
      <c r="BP31" s="57"/>
      <c r="BQ31" s="57"/>
      <c r="BR31" s="57"/>
      <c r="BS31" s="57"/>
      <c r="BT31" s="57"/>
      <c r="BU31" s="57"/>
      <c r="BV31" s="57"/>
      <c r="BW31" s="57"/>
      <c r="BX31" s="57"/>
      <c r="BY31" s="57"/>
      <c r="BZ31" s="57"/>
      <c r="CA31" s="57"/>
      <c r="CB31" s="57"/>
      <c r="CC31" s="57"/>
      <c r="CD31" s="57"/>
      <c r="CE31" s="57"/>
      <c r="CF31" s="57"/>
      <c r="CG31" s="57"/>
      <c r="CH31" s="57"/>
      <c r="CI31" s="57"/>
      <c r="CJ31" s="57"/>
      <c r="CK31" s="57"/>
      <c r="CL31" s="57"/>
      <c r="CM31" s="57"/>
      <c r="CN31" s="57"/>
      <c r="CO31" s="57"/>
      <c r="CP31" s="57"/>
      <c r="CQ31" s="57"/>
      <c r="CR31" s="57"/>
      <c r="CS31" s="57"/>
      <c r="CT31" s="57"/>
      <c r="CU31" s="57"/>
      <c r="CV31" s="57"/>
      <c r="CW31" s="57"/>
      <c r="CX31" s="57"/>
      <c r="CY31" s="57"/>
      <c r="CZ31" s="57"/>
      <c r="DA31" s="57"/>
      <c r="DB31" s="57"/>
      <c r="DC31" s="57"/>
      <c r="DD31" s="57"/>
      <c r="DE31" s="57"/>
      <c r="DF31" s="57"/>
      <c r="DG31" s="57"/>
      <c r="DH31" s="57"/>
      <c r="DI31" s="57"/>
      <c r="DJ31" s="57"/>
      <c r="DK31" s="57"/>
      <c r="DL31" s="57"/>
      <c r="DM31" s="57"/>
      <c r="DN31" s="57"/>
      <c r="DO31" s="57"/>
      <c r="DP31" s="57"/>
      <c r="DQ31" s="57"/>
      <c r="DR31" s="57"/>
      <c r="DS31" s="57"/>
      <c r="DT31" s="57"/>
      <c r="DU31" s="57"/>
      <c r="DV31" s="57"/>
      <c r="DW31" s="57"/>
      <c r="DX31" s="57"/>
      <c r="DY31" s="57"/>
      <c r="DZ31" s="57"/>
      <c r="EA31" s="57"/>
      <c r="EB31" s="57"/>
      <c r="EC31" s="57"/>
      <c r="ED31" s="57"/>
      <c r="EE31" s="57"/>
      <c r="EF31" s="57"/>
      <c r="EG31" s="57"/>
      <c r="EH31" s="57"/>
      <c r="EI31" s="57"/>
      <c r="EJ31" s="57"/>
      <c r="EK31" s="57"/>
      <c r="EL31" s="57"/>
      <c r="EM31" s="57"/>
      <c r="EN31" s="57"/>
      <c r="EO31" s="57"/>
      <c r="EP31" s="57"/>
      <c r="EQ31" s="57"/>
      <c r="ER31" s="57"/>
      <c r="ES31" s="57"/>
      <c r="ET31" s="57"/>
      <c r="EU31" s="57"/>
      <c r="EV31" s="57"/>
      <c r="EW31" s="57"/>
      <c r="EX31" s="57"/>
      <c r="EY31" s="57"/>
      <c r="EZ31" s="57"/>
      <c r="FA31" s="57"/>
      <c r="FB31" s="57"/>
      <c r="FC31" s="57"/>
      <c r="FD31" s="57"/>
      <c r="FE31" s="57"/>
      <c r="FF31" s="57"/>
      <c r="FG31" s="57"/>
      <c r="FH31" s="57"/>
      <c r="FI31" s="57"/>
      <c r="FJ31" s="57"/>
      <c r="FK31" s="57"/>
      <c r="FL31" s="57"/>
      <c r="FM31" s="57"/>
      <c r="FN31" s="57"/>
      <c r="FO31" s="57"/>
      <c r="FP31" s="57"/>
      <c r="FQ31" s="57"/>
      <c r="FR31" s="57"/>
      <c r="FS31" s="57"/>
      <c r="FT31" s="57"/>
      <c r="FU31" s="57"/>
      <c r="FV31" s="57"/>
      <c r="FW31" s="57"/>
      <c r="FX31" s="57"/>
      <c r="FY31" s="57"/>
      <c r="FZ31" s="57"/>
      <c r="GA31" s="57"/>
      <c r="GB31" s="57"/>
      <c r="GC31" s="57"/>
      <c r="GD31" s="57"/>
      <c r="GE31" s="57"/>
      <c r="GF31" s="57"/>
      <c r="GG31" s="57"/>
      <c r="GH31" s="57"/>
      <c r="GI31" s="57"/>
      <c r="GJ31" s="57"/>
      <c r="GK31" s="57"/>
      <c r="GL31" s="57"/>
      <c r="GM31" s="57"/>
      <c r="GN31" s="57"/>
      <c r="GO31" s="57"/>
      <c r="GP31" s="57"/>
      <c r="GQ31" s="57"/>
      <c r="GR31" s="57"/>
      <c r="GS31" s="57"/>
      <c r="GT31" s="57"/>
      <c r="GU31" s="57"/>
      <c r="GV31" s="57"/>
      <c r="GW31" s="57"/>
      <c r="GX31" s="57"/>
      <c r="GY31" s="57"/>
      <c r="GZ31" s="57"/>
      <c r="HA31" s="57"/>
      <c r="HB31" s="57"/>
      <c r="HC31" s="57"/>
      <c r="HD31" s="57"/>
      <c r="HE31" s="57"/>
      <c r="HF31" s="57"/>
      <c r="HG31" s="57"/>
      <c r="HH31" s="57"/>
      <c r="HI31" s="57"/>
      <c r="HJ31" s="57"/>
      <c r="HK31" s="57"/>
      <c r="HL31" s="57"/>
      <c r="HM31" s="57"/>
      <c r="HN31" s="57"/>
      <c r="HO31" s="57"/>
      <c r="HP31" s="57"/>
      <c r="HQ31" s="57"/>
      <c r="HR31" s="57"/>
      <c r="HS31" s="57"/>
      <c r="HT31" s="57"/>
      <c r="HU31" s="57"/>
      <c r="HV31" s="57"/>
      <c r="HW31" s="57"/>
      <c r="HX31" s="57"/>
      <c r="HY31" s="57"/>
      <c r="HZ31" s="57"/>
      <c r="IA31" s="57"/>
      <c r="IB31" s="57"/>
      <c r="IC31" s="57"/>
      <c r="ID31" s="57"/>
      <c r="IE31" s="57"/>
      <c r="IF31" s="57"/>
      <c r="IG31" s="57"/>
      <c r="IH31" s="57"/>
      <c r="II31" s="57"/>
      <c r="IJ31" s="57"/>
      <c r="IK31" s="57"/>
      <c r="IL31" s="57"/>
      <c r="IM31" s="57"/>
      <c r="IN31" s="57"/>
      <c r="IO31" s="57"/>
      <c r="IP31" s="57"/>
      <c r="IQ31" s="57"/>
      <c r="IR31" s="57"/>
      <c r="IS31" s="57"/>
      <c r="IT31" s="57"/>
      <c r="IU31" s="57"/>
      <c r="IV31" s="57"/>
      <c r="IW31" s="57"/>
      <c r="IX31" s="57"/>
      <c r="IY31" s="57"/>
      <c r="IZ31" s="57"/>
      <c r="JA31" s="57"/>
      <c r="JB31" s="57"/>
      <c r="JC31" s="57"/>
      <c r="JD31" s="57"/>
      <c r="JE31" s="57"/>
      <c r="JF31" s="57"/>
      <c r="JG31" s="57"/>
      <c r="JH31" s="57"/>
      <c r="JI31" s="57"/>
      <c r="JJ31" s="57"/>
      <c r="JK31" s="57"/>
      <c r="JL31" s="58"/>
    </row>
    <row r="32" spans="1:272" ht="16.95" customHeight="1" x14ac:dyDescent="0.3">
      <c r="B32" s="47" t="s">
        <v>100</v>
      </c>
      <c r="C32" s="48" t="s">
        <v>60</v>
      </c>
      <c r="D32" s="49">
        <f>WORKDAY(F31,1,Feriados_BO_2026)</f>
        <v>46233</v>
      </c>
      <c r="E32" s="51">
        <v>1</v>
      </c>
      <c r="F32" s="50">
        <f>WORKDAY(D32,E32-1,Feriados_BO_2026)</f>
        <v>46233</v>
      </c>
      <c r="G32" s="68"/>
      <c r="H32" s="68"/>
      <c r="I32" s="84">
        <f ca="1">IF($H32&lt;&gt;"",SIGN($H32-$F32)*(NETWORKDAYS(MIN($F32,$H32),MAX($F32,$H32),Feriados_BO_2026)-1),IF($G32&lt;&gt;"",IF(TODAY()&gt;$F32,NETWORKDAYS($F32,TODAY(),Feriados_BO_2026)-1,0),IF(TODAY()&gt;$D32,NETWORKDAYS($D32,TODAY(),Feriados_BO_2026)-1,0)))</f>
        <v>0</v>
      </c>
      <c r="J32" s="52">
        <v>2.1000000000000001E-2</v>
      </c>
      <c r="K32" s="53">
        <f>SUM(J$5:J32)</f>
        <v>1.0005000000000002</v>
      </c>
      <c r="L32" s="55" t="s">
        <v>79</v>
      </c>
      <c r="M32" s="56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57"/>
      <c r="BF32" s="57"/>
      <c r="BG32" s="57"/>
      <c r="BH32" s="57"/>
      <c r="BI32" s="57"/>
      <c r="BJ32" s="57"/>
      <c r="BK32" s="57"/>
      <c r="BL32" s="57"/>
      <c r="BM32" s="57"/>
      <c r="BN32" s="57"/>
      <c r="BO32" s="57"/>
      <c r="BP32" s="57"/>
      <c r="BQ32" s="57"/>
      <c r="BR32" s="57"/>
      <c r="BS32" s="57"/>
      <c r="BT32" s="57"/>
      <c r="BU32" s="57"/>
      <c r="BV32" s="57"/>
      <c r="BW32" s="57"/>
      <c r="BX32" s="57"/>
      <c r="BY32" s="57"/>
      <c r="BZ32" s="57"/>
      <c r="CA32" s="57"/>
      <c r="CB32" s="57"/>
      <c r="CC32" s="57"/>
      <c r="CD32" s="57"/>
      <c r="CE32" s="57"/>
      <c r="CF32" s="57"/>
      <c r="CG32" s="57"/>
      <c r="CH32" s="57"/>
      <c r="CI32" s="57"/>
      <c r="CJ32" s="57"/>
      <c r="CK32" s="57"/>
      <c r="CL32" s="57"/>
      <c r="CM32" s="57"/>
      <c r="CN32" s="57"/>
      <c r="CO32" s="57"/>
      <c r="CP32" s="57"/>
      <c r="CQ32" s="57"/>
      <c r="CR32" s="57"/>
      <c r="CS32" s="57"/>
      <c r="CT32" s="57"/>
      <c r="CU32" s="57"/>
      <c r="CV32" s="57"/>
      <c r="CW32" s="57"/>
      <c r="CX32" s="57"/>
      <c r="CY32" s="57"/>
      <c r="CZ32" s="57"/>
      <c r="DA32" s="57"/>
      <c r="DB32" s="57"/>
      <c r="DC32" s="57"/>
      <c r="DD32" s="57"/>
      <c r="DE32" s="57"/>
      <c r="DF32" s="57"/>
      <c r="DG32" s="57"/>
      <c r="DH32" s="57"/>
      <c r="DI32" s="57"/>
      <c r="DJ32" s="57"/>
      <c r="DK32" s="57"/>
      <c r="DL32" s="57"/>
      <c r="DM32" s="57"/>
      <c r="DN32" s="57"/>
      <c r="DO32" s="57"/>
      <c r="DP32" s="57"/>
      <c r="DQ32" s="57"/>
      <c r="DR32" s="57"/>
      <c r="DS32" s="57"/>
      <c r="DT32" s="57"/>
      <c r="DU32" s="57"/>
      <c r="DV32" s="57"/>
      <c r="DW32" s="57"/>
      <c r="DX32" s="57"/>
      <c r="DY32" s="57"/>
      <c r="DZ32" s="57"/>
      <c r="EA32" s="57"/>
      <c r="EB32" s="57"/>
      <c r="EC32" s="57"/>
      <c r="ED32" s="57"/>
      <c r="EE32" s="57"/>
      <c r="EF32" s="57"/>
      <c r="EG32" s="57"/>
      <c r="EH32" s="57"/>
      <c r="EI32" s="57"/>
      <c r="EJ32" s="57"/>
      <c r="EK32" s="57"/>
      <c r="EL32" s="57"/>
      <c r="EM32" s="57"/>
      <c r="EN32" s="57"/>
      <c r="EO32" s="57"/>
      <c r="EP32" s="57"/>
      <c r="EQ32" s="57"/>
      <c r="ER32" s="57"/>
      <c r="ES32" s="57"/>
      <c r="ET32" s="57"/>
      <c r="EU32" s="57"/>
      <c r="EV32" s="57"/>
      <c r="EW32" s="57"/>
      <c r="EX32" s="57"/>
      <c r="EY32" s="57"/>
      <c r="EZ32" s="57"/>
      <c r="FA32" s="57"/>
      <c r="FB32" s="57"/>
      <c r="FC32" s="57"/>
      <c r="FD32" s="57"/>
      <c r="FE32" s="57"/>
      <c r="FF32" s="57"/>
      <c r="FG32" s="57"/>
      <c r="FH32" s="57"/>
      <c r="FI32" s="57"/>
      <c r="FJ32" s="57"/>
      <c r="FK32" s="57"/>
      <c r="FL32" s="57"/>
      <c r="FM32" s="57"/>
      <c r="FN32" s="57"/>
      <c r="FO32" s="57"/>
      <c r="FP32" s="57"/>
      <c r="FQ32" s="57"/>
      <c r="FR32" s="57"/>
      <c r="FS32" s="57"/>
      <c r="FT32" s="57"/>
      <c r="FU32" s="57"/>
      <c r="FV32" s="57"/>
      <c r="FW32" s="57"/>
      <c r="FX32" s="57"/>
      <c r="FY32" s="57"/>
      <c r="FZ32" s="57"/>
      <c r="GA32" s="57"/>
      <c r="GB32" s="57"/>
      <c r="GC32" s="57"/>
      <c r="GD32" s="57"/>
      <c r="GE32" s="57"/>
      <c r="GF32" s="57"/>
      <c r="GG32" s="57"/>
      <c r="GH32" s="57"/>
      <c r="GI32" s="57"/>
      <c r="GJ32" s="57"/>
      <c r="GK32" s="57"/>
      <c r="GL32" s="57"/>
      <c r="GM32" s="57"/>
      <c r="GN32" s="57"/>
      <c r="GO32" s="57"/>
      <c r="GP32" s="57"/>
      <c r="GQ32" s="57"/>
      <c r="GR32" s="57"/>
      <c r="GS32" s="57"/>
      <c r="GT32" s="57"/>
      <c r="GU32" s="57"/>
      <c r="GV32" s="57"/>
      <c r="GW32" s="57"/>
      <c r="GX32" s="57"/>
      <c r="GY32" s="57"/>
      <c r="GZ32" s="57"/>
      <c r="HA32" s="57"/>
      <c r="HB32" s="57"/>
      <c r="HC32" s="57"/>
      <c r="HD32" s="57"/>
      <c r="HE32" s="57"/>
      <c r="HF32" s="57"/>
      <c r="HG32" s="57"/>
      <c r="HH32" s="57"/>
      <c r="HI32" s="57"/>
      <c r="HJ32" s="57"/>
      <c r="HK32" s="57"/>
      <c r="HL32" s="57"/>
      <c r="HM32" s="57"/>
      <c r="HN32" s="57"/>
      <c r="HO32" s="57"/>
      <c r="HP32" s="57"/>
      <c r="HQ32" s="57"/>
      <c r="HR32" s="57"/>
      <c r="HS32" s="57"/>
      <c r="HT32" s="57"/>
      <c r="HU32" s="57"/>
      <c r="HV32" s="57"/>
      <c r="HW32" s="57"/>
      <c r="HX32" s="57"/>
      <c r="HY32" s="57"/>
      <c r="HZ32" s="57"/>
      <c r="IA32" s="57"/>
      <c r="IB32" s="57"/>
      <c r="IC32" s="57"/>
      <c r="ID32" s="57"/>
      <c r="IE32" s="57"/>
      <c r="IF32" s="57"/>
      <c r="IG32" s="57"/>
      <c r="IH32" s="57"/>
      <c r="II32" s="57"/>
      <c r="IJ32" s="57"/>
      <c r="IK32" s="57"/>
      <c r="IL32" s="57"/>
      <c r="IM32" s="57"/>
      <c r="IN32" s="57"/>
      <c r="IO32" s="57"/>
      <c r="IP32" s="57"/>
      <c r="IQ32" s="57"/>
      <c r="IR32" s="57"/>
      <c r="IS32" s="57"/>
      <c r="IT32" s="57"/>
      <c r="IU32" s="57"/>
      <c r="IV32" s="57"/>
      <c r="IW32" s="57"/>
      <c r="IX32" s="57"/>
      <c r="IY32" s="57"/>
      <c r="IZ32" s="57"/>
      <c r="JA32" s="57"/>
      <c r="JB32" s="57"/>
      <c r="JC32" s="57"/>
      <c r="JD32" s="57"/>
      <c r="JE32" s="57"/>
      <c r="JF32" s="57"/>
      <c r="JG32" s="57"/>
      <c r="JH32" s="57"/>
      <c r="JI32" s="57"/>
      <c r="JJ32" s="57"/>
      <c r="JK32" s="57"/>
      <c r="JL32" s="58"/>
    </row>
  </sheetData>
  <mergeCells count="8">
    <mergeCell ref="A29:L29"/>
    <mergeCell ref="M1:JL1"/>
    <mergeCell ref="A1:L1"/>
    <mergeCell ref="A4:L4"/>
    <mergeCell ref="A8:L8"/>
    <mergeCell ref="A12:L12"/>
    <mergeCell ref="A17:L17"/>
    <mergeCell ref="A23:L23"/>
  </mergeCells>
  <conditionalFormatting sqref="L5:L32">
    <cfRule type="cellIs" dxfId="34" priority="25" operator="equal">
      <formula>"Completado"</formula>
    </cfRule>
    <cfRule type="cellIs" dxfId="33" priority="26" operator="equal">
      <formula>"En curso"</formula>
    </cfRule>
  </conditionalFormatting>
  <conditionalFormatting sqref="M3:JL3">
    <cfRule type="expression" dxfId="32" priority="57">
      <formula>AND(M$3&lt;&gt;"",M$3=TODAY())</formula>
    </cfRule>
  </conditionalFormatting>
  <conditionalFormatting sqref="M4:JL4">
    <cfRule type="expression" dxfId="31" priority="29">
      <formula>M$3&lt;&gt;""</formula>
    </cfRule>
  </conditionalFormatting>
  <conditionalFormatting sqref="M4:JL32">
    <cfRule type="expression" dxfId="30" priority="27">
      <formula>AND(M$3&lt;&gt;"",WEEKDAY(M$3,2)&gt;5)</formula>
    </cfRule>
    <cfRule type="expression" dxfId="29" priority="28">
      <formula>AND(M$3&lt;&gt;"",COUNTIF(Feriados_BO_2026,M$3)&gt;0)</formula>
    </cfRule>
  </conditionalFormatting>
  <conditionalFormatting sqref="M5:JL7">
    <cfRule type="expression" dxfId="28" priority="36">
      <formula>AND(M$3&lt;&gt;"",M$3&gt;=$D5,M$3&lt;=$F5)</formula>
    </cfRule>
    <cfRule type="expression" dxfId="27" priority="37">
      <formula>AND(M$3&lt;&gt;"",M$3&gt;=$D5,M$3&lt;=$F5,$L5="En curso")</formula>
    </cfRule>
    <cfRule type="expression" dxfId="26" priority="38">
      <formula>AND(M$3&lt;&gt;"",M$3&gt;=$D5,M$3&lt;=$F5,$L5="Completado")</formula>
    </cfRule>
  </conditionalFormatting>
  <conditionalFormatting sqref="M8:JL8">
    <cfRule type="expression" dxfId="25" priority="30">
      <formula>M$3&lt;&gt;""</formula>
    </cfRule>
  </conditionalFormatting>
  <conditionalFormatting sqref="M9:JL11">
    <cfRule type="expression" dxfId="24" priority="39">
      <formula>AND(M$3&lt;&gt;"",M$3&gt;=$D9,M$3&lt;=$F9)</formula>
    </cfRule>
    <cfRule type="expression" dxfId="23" priority="40">
      <formula>AND(M$3&lt;&gt;"",M$3&gt;=$D9,M$3&lt;=$F9,$L9="En curso")</formula>
    </cfRule>
    <cfRule type="expression" dxfId="22" priority="41">
      <formula>AND(M$3&lt;&gt;"",M$3&gt;=$D9,M$3&lt;=$F9,$L9="Completado")</formula>
    </cfRule>
  </conditionalFormatting>
  <conditionalFormatting sqref="M12:JL12">
    <cfRule type="expression" dxfId="21" priority="31">
      <formula>M$3&lt;&gt;""</formula>
    </cfRule>
  </conditionalFormatting>
  <conditionalFormatting sqref="M13:JL16">
    <cfRule type="expression" dxfId="20" priority="42">
      <formula>AND(M$3&lt;&gt;"",M$3&gt;=$D13,M$3&lt;=$F13)</formula>
    </cfRule>
    <cfRule type="expression" dxfId="19" priority="43">
      <formula>AND(M$3&lt;&gt;"",M$3&gt;=$D13,M$3&lt;=$F13,$L13="En curso")</formula>
    </cfRule>
    <cfRule type="expression" dxfId="18" priority="44">
      <formula>AND(M$3&lt;&gt;"",M$3&gt;=$D13,M$3&lt;=$F13,$L13="Completado")</formula>
    </cfRule>
  </conditionalFormatting>
  <conditionalFormatting sqref="M17:JL17">
    <cfRule type="expression" dxfId="17" priority="32">
      <formula>M$3&lt;&gt;""</formula>
    </cfRule>
  </conditionalFormatting>
  <conditionalFormatting sqref="M18:JL22">
    <cfRule type="expression" dxfId="16" priority="45">
      <formula>AND(M$3&lt;&gt;"",M$3&gt;=$D18,M$3&lt;=$F18)</formula>
    </cfRule>
    <cfRule type="expression" dxfId="15" priority="46">
      <formula>AND(M$3&lt;&gt;"",M$3&gt;=$D18,M$3&lt;=$F18,$L18="En curso")</formula>
    </cfRule>
    <cfRule type="expression" dxfId="14" priority="47">
      <formula>AND(M$3&lt;&gt;"",M$3&gt;=$D18,M$3&lt;=$F18,$L18="Completado")</formula>
    </cfRule>
  </conditionalFormatting>
  <conditionalFormatting sqref="M23:JL23">
    <cfRule type="expression" dxfId="13" priority="33">
      <formula>M$3&lt;&gt;""</formula>
    </cfRule>
  </conditionalFormatting>
  <conditionalFormatting sqref="M24:JL28">
    <cfRule type="expression" dxfId="12" priority="48">
      <formula>AND(M$3&lt;&gt;"",M$3&gt;=$D24,M$3&lt;=$F24)</formula>
    </cfRule>
    <cfRule type="expression" dxfId="11" priority="49">
      <formula>AND(M$3&lt;&gt;"",M$3&gt;=$D24,M$3&lt;=$F24,$L24="En curso")</formula>
    </cfRule>
    <cfRule type="expression" dxfId="10" priority="50">
      <formula>AND(M$3&lt;&gt;"",M$3&gt;=$D24,M$3&lt;=$F24,$L24="Completado")</formula>
    </cfRule>
  </conditionalFormatting>
  <conditionalFormatting sqref="M29:JL29">
    <cfRule type="expression" dxfId="9" priority="34">
      <formula>M$3&lt;&gt;""</formula>
    </cfRule>
  </conditionalFormatting>
  <conditionalFormatting sqref="M30:JL32">
    <cfRule type="expression" dxfId="8" priority="51">
      <formula>AND(M$3&lt;&gt;"",M$3&gt;=$D30,M$3&lt;=$F30)</formula>
    </cfRule>
    <cfRule type="expression" dxfId="7" priority="52">
      <formula>AND(M$3&lt;&gt;"",M$3&gt;=$D30,M$3&lt;=$F30,$L30="En curso")</formula>
    </cfRule>
    <cfRule type="expression" dxfId="6" priority="53">
      <formula>AND(M$3&lt;&gt;"",M$3&gt;=$D30,M$3&lt;=$F30,$L30="Completado")</formula>
    </cfRule>
  </conditionalFormatting>
  <dataValidations xWindow="810" yWindow="646" count="3">
    <dataValidation type="list" allowBlank="1" showInputMessage="1" showErrorMessage="1" sqref="L18:L22 L5:L7 L9:L11 L30:L32 L13:L16 L24:L28" xr:uid="{49B004EA-45D2-4404-A2F9-4B756F82644C}">
      <formula1>"Pendiente,En curso,Completado"</formula1>
    </dataValidation>
    <dataValidation type="date" errorStyle="warning" allowBlank="1" showInputMessage="1" showErrorMessage="1" errorTitle="Fecha inválida" error="Ingrese una fecha válida entre 2026 y 2027" promptTitle="Inicio Real" prompt="Ingrese la fecha de inicio real de la actividad" sqref="H5:H7 H11 H9 G5:G32 H13:H15 H21" xr:uid="{531DABD5-EC94-46D8-8298-E88F7C33940C}">
      <formula1>DATE(2026,1,1)</formula1>
      <formula2>DATE(2027,12,31)</formula2>
    </dataValidation>
    <dataValidation type="date" errorStyle="warning" allowBlank="1" showInputMessage="1" showErrorMessage="1" errorTitle="Fecha inválida" error="Ingrese una fecha válida entre 2026 y 2027" promptTitle="Fin Real" prompt="Ingrese la fecha de fin real de la actividad" sqref="I5:I32 H8 H12 H10 H16:H20 H22:H32" xr:uid="{59A3FA0B-ED7E-499E-BC6C-AB0DA8904DAE}">
      <formula1>DATE(2026,1,1)</formula1>
      <formula2>DATE(2027,12,31)</formula2>
    </dataValidation>
  </dataValidations>
  <pageMargins left="0.75" right="0.75" top="1" bottom="1" header="0.5" footer="0.5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E6C79-5845-48F6-BFBD-B7BDC353E9FA}">
  <dimension ref="B1:F23"/>
  <sheetViews>
    <sheetView tabSelected="1" workbookViewId="0">
      <selection activeCell="H9" sqref="H9"/>
    </sheetView>
  </sheetViews>
  <sheetFormatPr baseColWidth="10" defaultColWidth="11.44140625" defaultRowHeight="14.4" x14ac:dyDescent="0.3"/>
  <cols>
    <col min="2" max="2" width="25.44140625" bestFit="1" customWidth="1"/>
    <col min="3" max="3" width="35.5546875" bestFit="1" customWidth="1"/>
    <col min="4" max="4" width="32.109375" bestFit="1" customWidth="1"/>
    <col min="5" max="5" width="43" bestFit="1" customWidth="1"/>
    <col min="6" max="6" width="7.33203125" bestFit="1" customWidth="1"/>
    <col min="7" max="7" width="20" bestFit="1" customWidth="1"/>
  </cols>
  <sheetData>
    <row r="1" spans="2:6" ht="31.2" customHeight="1" thickTop="1" thickBot="1" x14ac:dyDescent="0.35">
      <c r="B1" s="102" t="s">
        <v>101</v>
      </c>
      <c r="C1" s="103" t="s">
        <v>102</v>
      </c>
      <c r="D1" s="104" t="s">
        <v>103</v>
      </c>
      <c r="E1" s="103" t="s">
        <v>104</v>
      </c>
      <c r="F1" s="105" t="s">
        <v>105</v>
      </c>
    </row>
    <row r="2" spans="2:6" ht="28.95" customHeight="1" thickTop="1" x14ac:dyDescent="0.3">
      <c r="B2" s="114" t="s">
        <v>106</v>
      </c>
      <c r="C2" s="106" t="s">
        <v>107</v>
      </c>
      <c r="D2" s="107" t="s">
        <v>108</v>
      </c>
      <c r="E2" s="117" t="s">
        <v>109</v>
      </c>
      <c r="F2" s="120" t="s">
        <v>110</v>
      </c>
    </row>
    <row r="3" spans="2:6" ht="28.8" x14ac:dyDescent="0.3">
      <c r="B3" s="115"/>
      <c r="C3" s="108" t="s">
        <v>111</v>
      </c>
      <c r="D3" s="109" t="s">
        <v>112</v>
      </c>
      <c r="E3" s="118"/>
      <c r="F3" s="121"/>
    </row>
    <row r="4" spans="2:6" ht="28.8" x14ac:dyDescent="0.3">
      <c r="B4" s="115"/>
      <c r="C4" s="108" t="s">
        <v>113</v>
      </c>
      <c r="D4" s="109" t="s">
        <v>114</v>
      </c>
      <c r="E4" s="118"/>
      <c r="F4" s="121"/>
    </row>
    <row r="5" spans="2:6" ht="29.4" thickBot="1" x14ac:dyDescent="0.35">
      <c r="B5" s="116"/>
      <c r="C5" s="110"/>
      <c r="D5" s="113" t="s">
        <v>115</v>
      </c>
      <c r="E5" s="119"/>
      <c r="F5" s="122"/>
    </row>
    <row r="6" spans="2:6" ht="43.8" thickTop="1" x14ac:dyDescent="0.3">
      <c r="B6" s="114" t="s">
        <v>116</v>
      </c>
      <c r="C6" s="106" t="s">
        <v>117</v>
      </c>
      <c r="D6" s="107" t="s">
        <v>118</v>
      </c>
      <c r="E6" s="117" t="s">
        <v>119</v>
      </c>
      <c r="F6" s="120" t="s">
        <v>120</v>
      </c>
    </row>
    <row r="7" spans="2:6" ht="43.2" x14ac:dyDescent="0.3">
      <c r="B7" s="115"/>
      <c r="C7" s="108" t="s">
        <v>121</v>
      </c>
      <c r="D7" s="109" t="s">
        <v>122</v>
      </c>
      <c r="E7" s="118"/>
      <c r="F7" s="121"/>
    </row>
    <row r="8" spans="2:6" ht="28.8" x14ac:dyDescent="0.3">
      <c r="B8" s="115"/>
      <c r="C8" s="108" t="s">
        <v>123</v>
      </c>
      <c r="D8" s="109" t="s">
        <v>124</v>
      </c>
      <c r="E8" s="118"/>
      <c r="F8" s="121"/>
    </row>
    <row r="9" spans="2:6" ht="29.4" thickBot="1" x14ac:dyDescent="0.35">
      <c r="B9" s="116"/>
      <c r="C9" s="110"/>
      <c r="D9" s="111" t="s">
        <v>125</v>
      </c>
      <c r="E9" s="119"/>
      <c r="F9" s="122"/>
    </row>
    <row r="10" spans="2:6" ht="43.8" thickTop="1" x14ac:dyDescent="0.3">
      <c r="B10" s="114" t="s">
        <v>126</v>
      </c>
      <c r="C10" s="106" t="s">
        <v>127</v>
      </c>
      <c r="D10" s="107" t="s">
        <v>128</v>
      </c>
      <c r="E10" s="117" t="s">
        <v>129</v>
      </c>
      <c r="F10" s="120" t="s">
        <v>130</v>
      </c>
    </row>
    <row r="11" spans="2:6" ht="28.8" x14ac:dyDescent="0.3">
      <c r="B11" s="115"/>
      <c r="C11" s="108" t="s">
        <v>131</v>
      </c>
      <c r="D11" s="109" t="s">
        <v>132</v>
      </c>
      <c r="E11" s="118"/>
      <c r="F11" s="121"/>
    </row>
    <row r="12" spans="2:6" ht="29.4" thickBot="1" x14ac:dyDescent="0.35">
      <c r="B12" s="116"/>
      <c r="C12" s="110" t="s">
        <v>133</v>
      </c>
      <c r="D12" s="111" t="s">
        <v>134</v>
      </c>
      <c r="E12" s="119"/>
      <c r="F12" s="122"/>
    </row>
    <row r="13" spans="2:6" ht="43.8" thickTop="1" x14ac:dyDescent="0.3">
      <c r="B13" s="114" t="s">
        <v>135</v>
      </c>
      <c r="C13" s="106" t="s">
        <v>136</v>
      </c>
      <c r="D13" s="107" t="s">
        <v>137</v>
      </c>
      <c r="E13" s="117" t="s">
        <v>138</v>
      </c>
      <c r="F13" s="120" t="s">
        <v>139</v>
      </c>
    </row>
    <row r="14" spans="2:6" ht="28.8" x14ac:dyDescent="0.3">
      <c r="B14" s="115"/>
      <c r="C14" s="108" t="s">
        <v>140</v>
      </c>
      <c r="D14" s="109" t="s">
        <v>141</v>
      </c>
      <c r="E14" s="118"/>
      <c r="F14" s="121"/>
    </row>
    <row r="15" spans="2:6" ht="43.8" thickBot="1" x14ac:dyDescent="0.35">
      <c r="B15" s="116"/>
      <c r="C15" s="110" t="s">
        <v>142</v>
      </c>
      <c r="D15" s="112" t="s">
        <v>143</v>
      </c>
      <c r="E15" s="119"/>
      <c r="F15" s="122"/>
    </row>
    <row r="16" spans="2:6" ht="43.8" thickTop="1" x14ac:dyDescent="0.3">
      <c r="B16" s="114" t="s">
        <v>144</v>
      </c>
      <c r="C16" s="106" t="s">
        <v>145</v>
      </c>
      <c r="D16" s="107" t="s">
        <v>146</v>
      </c>
      <c r="E16" s="117" t="s">
        <v>147</v>
      </c>
      <c r="F16" s="120" t="s">
        <v>148</v>
      </c>
    </row>
    <row r="17" spans="2:6" ht="28.8" x14ac:dyDescent="0.3">
      <c r="B17" s="115"/>
      <c r="C17" s="108" t="s">
        <v>149</v>
      </c>
      <c r="D17" s="109" t="s">
        <v>150</v>
      </c>
      <c r="E17" s="118"/>
      <c r="F17" s="121"/>
    </row>
    <row r="18" spans="2:6" ht="29.4" thickBot="1" x14ac:dyDescent="0.35">
      <c r="B18" s="116"/>
      <c r="C18" s="110" t="s">
        <v>151</v>
      </c>
      <c r="D18" s="111" t="s">
        <v>152</v>
      </c>
      <c r="E18" s="119"/>
      <c r="F18" s="122"/>
    </row>
    <row r="19" spans="2:6" ht="29.4" thickTop="1" x14ac:dyDescent="0.3">
      <c r="B19" s="114" t="s">
        <v>153</v>
      </c>
      <c r="C19" s="106" t="s">
        <v>154</v>
      </c>
      <c r="D19" s="107" t="s">
        <v>155</v>
      </c>
      <c r="E19" s="117" t="s">
        <v>156</v>
      </c>
      <c r="F19" s="120" t="s">
        <v>120</v>
      </c>
    </row>
    <row r="20" spans="2:6" ht="28.8" x14ac:dyDescent="0.3">
      <c r="B20" s="115"/>
      <c r="C20" s="108" t="s">
        <v>157</v>
      </c>
      <c r="D20" s="109" t="s">
        <v>158</v>
      </c>
      <c r="E20" s="118"/>
      <c r="F20" s="121"/>
    </row>
    <row r="21" spans="2:6" ht="28.8" x14ac:dyDescent="0.3">
      <c r="B21" s="115"/>
      <c r="C21" s="108" t="s">
        <v>159</v>
      </c>
      <c r="D21" s="109" t="s">
        <v>160</v>
      </c>
      <c r="E21" s="118"/>
      <c r="F21" s="121"/>
    </row>
    <row r="22" spans="2:6" ht="43.8" thickBot="1" x14ac:dyDescent="0.35">
      <c r="B22" s="116"/>
      <c r="C22" s="110"/>
      <c r="D22" s="111" t="s">
        <v>161</v>
      </c>
      <c r="E22" s="119"/>
      <c r="F22" s="122"/>
    </row>
    <row r="23" spans="2:6" ht="15" thickTop="1" x14ac:dyDescent="0.3"/>
  </sheetData>
  <mergeCells count="18">
    <mergeCell ref="B16:B18"/>
    <mergeCell ref="E16:E18"/>
    <mergeCell ref="F16:F18"/>
    <mergeCell ref="B19:B22"/>
    <mergeCell ref="E19:E22"/>
    <mergeCell ref="F19:F22"/>
    <mergeCell ref="B10:B12"/>
    <mergeCell ref="E10:E12"/>
    <mergeCell ref="F10:F12"/>
    <mergeCell ref="B13:B15"/>
    <mergeCell ref="E13:E15"/>
    <mergeCell ref="F13:F15"/>
    <mergeCell ref="B2:B5"/>
    <mergeCell ref="E2:E5"/>
    <mergeCell ref="F2:F5"/>
    <mergeCell ref="B6:B9"/>
    <mergeCell ref="E6:E9"/>
    <mergeCell ref="F6:F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1"/>
  <sheetViews>
    <sheetView zoomScale="80" zoomScaleNormal="80" workbookViewId="0">
      <selection activeCell="K11" sqref="K11"/>
    </sheetView>
  </sheetViews>
  <sheetFormatPr baseColWidth="10" defaultColWidth="8.88671875" defaultRowHeight="14.4" x14ac:dyDescent="0.3"/>
  <cols>
    <col min="1" max="1" width="33.6640625" bestFit="1" customWidth="1"/>
    <col min="2" max="2" width="17.44140625" bestFit="1" customWidth="1"/>
    <col min="3" max="4" width="15.6640625" customWidth="1"/>
    <col min="5" max="5" width="17.6640625" customWidth="1"/>
    <col min="6" max="12" width="15.6640625" customWidth="1"/>
    <col min="13" max="13" width="17.6640625" bestFit="1" customWidth="1"/>
    <col min="14" max="14" width="9.44140625" bestFit="1" customWidth="1"/>
    <col min="15" max="15" width="8.109375" bestFit="1" customWidth="1"/>
    <col min="16" max="16" width="9.33203125" bestFit="1" customWidth="1"/>
    <col min="17" max="17" width="8" bestFit="1" customWidth="1"/>
    <col min="18" max="18" width="8.88671875" customWidth="1"/>
    <col min="19" max="19" width="17.6640625" bestFit="1" customWidth="1"/>
    <col min="20" max="20" width="13.33203125" bestFit="1" customWidth="1"/>
    <col min="21" max="21" width="7.6640625" bestFit="1" customWidth="1"/>
    <col min="22" max="22" width="9.33203125" customWidth="1"/>
    <col min="23" max="23" width="17.6640625" bestFit="1" customWidth="1"/>
    <col min="24" max="24" width="7.109375" bestFit="1" customWidth="1"/>
    <col min="25" max="25" width="8.109375" bestFit="1" customWidth="1"/>
    <col min="26" max="26" width="7" bestFit="1" customWidth="1"/>
    <col min="27" max="27" width="8" bestFit="1" customWidth="1"/>
    <col min="28" max="28" width="8.88671875" customWidth="1"/>
    <col min="29" max="29" width="17.6640625" bestFit="1" customWidth="1"/>
    <col min="30" max="30" width="7.6640625" bestFit="1" customWidth="1"/>
    <col min="31" max="31" width="7.33203125" bestFit="1" customWidth="1"/>
    <col min="32" max="32" width="7.5546875" bestFit="1" customWidth="1"/>
    <col min="33" max="33" width="7.33203125" bestFit="1" customWidth="1"/>
    <col min="34" max="34" width="8.88671875" customWidth="1"/>
    <col min="35" max="35" width="17.6640625" bestFit="1" customWidth="1"/>
    <col min="36" max="36" width="9.6640625" bestFit="1" customWidth="1"/>
    <col min="37" max="37" width="7.6640625" bestFit="1" customWidth="1"/>
  </cols>
  <sheetData>
    <row r="1" spans="1:11" ht="25.95" customHeight="1" x14ac:dyDescent="0.3">
      <c r="A1" s="137" t="s">
        <v>162</v>
      </c>
      <c r="B1" s="137"/>
    </row>
    <row r="2" spans="1:11" ht="18" customHeight="1" x14ac:dyDescent="0.3">
      <c r="A2" s="59" t="s">
        <v>163</v>
      </c>
      <c r="B2" s="61">
        <f>FechaInicioProyecto</f>
        <v>46113</v>
      </c>
      <c r="C2" s="59" t="s">
        <v>164</v>
      </c>
      <c r="D2" s="60">
        <f>HorizonteDias</f>
        <v>84</v>
      </c>
      <c r="E2" s="59" t="s">
        <v>165</v>
      </c>
      <c r="F2" s="61">
        <f>Configuración!B7</f>
        <v>46233</v>
      </c>
    </row>
    <row r="4" spans="1:11" ht="19.95" customHeight="1" x14ac:dyDescent="0.3">
      <c r="A4" s="1" t="s">
        <v>166</v>
      </c>
    </row>
    <row r="5" spans="1:11" x14ac:dyDescent="0.3">
      <c r="A5" s="38" t="s">
        <v>39</v>
      </c>
      <c r="B5" s="38" t="s">
        <v>167</v>
      </c>
      <c r="C5" s="38" t="s">
        <v>168</v>
      </c>
      <c r="D5" s="38" t="s">
        <v>169</v>
      </c>
      <c r="E5" s="38" t="s">
        <v>170</v>
      </c>
      <c r="G5" s="138" t="s">
        <v>171</v>
      </c>
      <c r="H5" s="139" t="s">
        <v>172</v>
      </c>
      <c r="I5" s="140" t="s">
        <v>173</v>
      </c>
    </row>
    <row r="6" spans="1:11" ht="16.95" customHeight="1" x14ac:dyDescent="0.3">
      <c r="A6" s="41" t="s">
        <v>51</v>
      </c>
      <c r="B6" s="54">
        <f>COUNTA(Gantt!B5:B7)</f>
        <v>3</v>
      </c>
      <c r="C6" s="54">
        <f>COUNTIF(Gantt!L5:L7,"Completado")</f>
        <v>3</v>
      </c>
      <c r="D6" s="53">
        <f>SUM(Gantt!J5:J7)</f>
        <v>5.2000000000000005E-2</v>
      </c>
      <c r="E6" s="53" cm="1">
        <f t="array" ref="E6">SUMPRODUCT((Gantt!L5:L7="Completado")*Gantt!J5:J7)/D6</f>
        <v>1</v>
      </c>
      <c r="G6" s="138"/>
      <c r="H6" s="139"/>
      <c r="I6" s="140"/>
    </row>
    <row r="7" spans="1:11" ht="16.95" customHeight="1" x14ac:dyDescent="0.3">
      <c r="A7" s="42" t="s">
        <v>58</v>
      </c>
      <c r="B7" s="54">
        <f>COUNTA(Gantt!B9:B11)</f>
        <v>3</v>
      </c>
      <c r="C7" s="54">
        <f>COUNTIF(Gantt!L9:L11,"Completado")</f>
        <v>3</v>
      </c>
      <c r="D7" s="53">
        <f>SUM(Gantt!J9:J11)</f>
        <v>0.10400000000000001</v>
      </c>
      <c r="E7" s="53" cm="1">
        <f t="array" ref="E7">SUMPRODUCT((Gantt!L9:L11="Completado")*Gantt!J9:J11)/D7</f>
        <v>1</v>
      </c>
      <c r="G7" s="141">
        <f>Gantt!K2</f>
        <v>0.29200000000000004</v>
      </c>
      <c r="H7" s="142">
        <f ca="1">COUNTIF(Gantt!I5:I32,"&gt;0")</f>
        <v>4</v>
      </c>
      <c r="I7" s="134" t="str">
        <f ca="1">AVERAGEIF(J19:J41,"&gt;0")&amp;" días"</f>
        <v>8,5 días</v>
      </c>
    </row>
    <row r="8" spans="1:11" ht="16.95" customHeight="1" x14ac:dyDescent="0.3">
      <c r="A8" s="43" t="s">
        <v>64</v>
      </c>
      <c r="B8" s="54">
        <f>COUNTA(Gantt!B13:B16)</f>
        <v>4</v>
      </c>
      <c r="C8" s="54">
        <f>COUNTIF(Gantt!L13:L16,"Completado")</f>
        <v>3</v>
      </c>
      <c r="D8" s="53">
        <f>SUM(Gantt!J13:J16)</f>
        <v>0.13600000000000001</v>
      </c>
      <c r="E8" s="53" cm="1">
        <f t="array" ref="E8">SUMPRODUCT((Gantt!L13:L16="Completado")*Gantt!J13:J16)/D8</f>
        <v>0.84558823529411775</v>
      </c>
      <c r="G8" s="141"/>
      <c r="H8" s="142"/>
      <c r="I8" s="134"/>
    </row>
    <row r="9" spans="1:11" ht="16.95" customHeight="1" x14ac:dyDescent="0.3">
      <c r="A9" s="44" t="s">
        <v>74</v>
      </c>
      <c r="B9" s="54">
        <f>COUNTA(Gantt!B18:B22)</f>
        <v>5</v>
      </c>
      <c r="C9" s="54">
        <f>COUNTIF(Gantt!L18:L22,"Completado")</f>
        <v>1</v>
      </c>
      <c r="D9" s="53">
        <f>SUM(Gantt!J18:J22)</f>
        <v>0.42650000000000005</v>
      </c>
      <c r="E9" s="53" cm="1">
        <f t="array" ref="E9">SUMPRODUCT((Gantt!L18:L22="Completado")*Gantt!J18:J22)/D9</f>
        <v>4.9237983587338802E-2</v>
      </c>
    </row>
    <row r="10" spans="1:11" ht="16.95" customHeight="1" x14ac:dyDescent="0.3">
      <c r="A10" s="45" t="s">
        <v>85</v>
      </c>
      <c r="B10" s="54">
        <f>COUNTA(Gantt!B24:B28)</f>
        <v>5</v>
      </c>
      <c r="C10" s="54">
        <f>COUNTIF(Gantt!L24:L28,"Completado")</f>
        <v>0</v>
      </c>
      <c r="D10" s="53">
        <f>SUM(Gantt!J24:J28)</f>
        <v>0.20899999999999999</v>
      </c>
      <c r="E10" s="53" cm="1">
        <f t="array" ref="E10">SUMPRODUCT((Gantt!L24:L28="Completado")*Gantt!J24:J28)/D10</f>
        <v>0</v>
      </c>
    </row>
    <row r="11" spans="1:11" ht="16.95" customHeight="1" x14ac:dyDescent="0.3">
      <c r="A11" s="46" t="s">
        <v>96</v>
      </c>
      <c r="B11" s="54">
        <f>COUNTA(Gantt!B30:B32)</f>
        <v>3</v>
      </c>
      <c r="C11" s="54">
        <f>COUNTIF(Gantt!L30:L32,"Completado")</f>
        <v>0</v>
      </c>
      <c r="D11" s="53">
        <f>SUM(Gantt!J30:J32)</f>
        <v>7.3000000000000009E-2</v>
      </c>
      <c r="E11" s="53" cm="1">
        <f t="array" ref="E11">SUMPRODUCT((Gantt!L30:L32="Completado")*Gantt!J30:J32)/D11</f>
        <v>0</v>
      </c>
    </row>
    <row r="13" spans="1:11" ht="22.2" customHeight="1" x14ac:dyDescent="0.3">
      <c r="A13" s="86" t="s">
        <v>174</v>
      </c>
      <c r="B13" s="85"/>
      <c r="C13" s="86" cm="1">
        <f t="array" ref="C13">SUMPRODUCT((Gantt!L5:L32="Completado")*1)</f>
        <v>10</v>
      </c>
      <c r="D13" s="87" cm="1">
        <f t="array" ref="D13">SUMPRODUCT((Gantt!L5:L32="Completado")*Gantt!J5:J32)</f>
        <v>0.29200000000000004</v>
      </c>
    </row>
    <row r="16" spans="1:11" ht="18" x14ac:dyDescent="0.35">
      <c r="A16" s="135" t="s">
        <v>175</v>
      </c>
      <c r="B16" s="136"/>
      <c r="C16" s="136"/>
      <c r="D16" s="136"/>
      <c r="E16" s="136"/>
      <c r="F16" s="136"/>
      <c r="G16" s="136"/>
      <c r="H16" s="136"/>
      <c r="I16" s="136"/>
      <c r="J16" s="136"/>
      <c r="K16" s="136"/>
    </row>
    <row r="18" spans="1:11" x14ac:dyDescent="0.3">
      <c r="A18" s="70" t="s">
        <v>40</v>
      </c>
      <c r="B18" s="70" t="s">
        <v>176</v>
      </c>
      <c r="C18" s="70" t="s">
        <v>177</v>
      </c>
      <c r="D18" s="70" t="s">
        <v>45</v>
      </c>
      <c r="E18" s="70" t="s">
        <v>46</v>
      </c>
      <c r="F18" s="70" t="s">
        <v>178</v>
      </c>
      <c r="G18" s="70" t="s">
        <v>179</v>
      </c>
      <c r="H18" s="70" t="s">
        <v>180</v>
      </c>
      <c r="I18" s="71" t="s">
        <v>181</v>
      </c>
      <c r="J18" s="71" t="s">
        <v>182</v>
      </c>
      <c r="K18" s="70" t="s">
        <v>50</v>
      </c>
    </row>
    <row r="19" spans="1:11" x14ac:dyDescent="0.3">
      <c r="A19" s="72" t="str">
        <f>Gantt!B5</f>
        <v>Definición de alcance</v>
      </c>
      <c r="B19" s="100">
        <f>Gantt!D5</f>
        <v>46113</v>
      </c>
      <c r="C19" s="100">
        <f>Gantt!F5</f>
        <v>46114</v>
      </c>
      <c r="D19" s="100">
        <f>Gantt!G5</f>
        <v>46113</v>
      </c>
      <c r="E19" s="100">
        <f>Gantt!H5</f>
        <v>46113</v>
      </c>
      <c r="F19" s="72">
        <f>Gantt!E5</f>
        <v>2</v>
      </c>
      <c r="G19" s="72">
        <f>IF(E19&gt;1,E19-D19+1,IF(D19&gt;1,"🔄",""))</f>
        <v>1</v>
      </c>
      <c r="H19" s="72">
        <f>IF(D19&gt;1,D19-B19,"")</f>
        <v>0</v>
      </c>
      <c r="I19" s="73">
        <f t="shared" ref="I19:I41" si="0">IF(E19&gt;1,E19-C19,"")</f>
        <v>-1</v>
      </c>
      <c r="J19" s="73">
        <f ca="1">Gantt!I5</f>
        <v>-1</v>
      </c>
      <c r="K19" s="69" t="str">
        <f>Gantt!L5</f>
        <v>Completado</v>
      </c>
    </row>
    <row r="20" spans="1:11" x14ac:dyDescent="0.3">
      <c r="A20" s="72" t="str">
        <f>Gantt!B6</f>
        <v>Viabilidad y recursos</v>
      </c>
      <c r="B20" s="100">
        <f>Gantt!D6</f>
        <v>46118</v>
      </c>
      <c r="C20" s="100">
        <f>Gantt!F6</f>
        <v>46118</v>
      </c>
      <c r="D20" s="100">
        <f>Gantt!G6</f>
        <v>46114</v>
      </c>
      <c r="E20" s="100">
        <f>Gantt!H6</f>
        <v>46114</v>
      </c>
      <c r="F20" s="72">
        <f>Gantt!E6</f>
        <v>1</v>
      </c>
      <c r="G20" s="69">
        <f>IF(E20&gt;1,E20-D20+1,IF(D20&gt;1,"🔄",""))</f>
        <v>1</v>
      </c>
      <c r="H20" s="72">
        <f t="shared" ref="H20:H41" si="1">IF(D20&gt;1,D20-B20,"")</f>
        <v>-4</v>
      </c>
      <c r="I20" s="73">
        <f t="shared" si="0"/>
        <v>-4</v>
      </c>
      <c r="J20" s="73">
        <f ca="1">Gantt!I6</f>
        <v>-1</v>
      </c>
      <c r="K20" s="69" t="str">
        <f>Gantt!L6</f>
        <v>Completado</v>
      </c>
    </row>
    <row r="21" spans="1:11" x14ac:dyDescent="0.3">
      <c r="A21" s="72" t="str">
        <f>Gantt!B7</f>
        <v>Cronograma inicial</v>
      </c>
      <c r="B21" s="100">
        <f>Gantt!D7</f>
        <v>46119</v>
      </c>
      <c r="C21" s="100">
        <f>Gantt!F7</f>
        <v>46119</v>
      </c>
      <c r="D21" s="100">
        <f>Gantt!G7</f>
        <v>46118</v>
      </c>
      <c r="E21" s="100">
        <f>Gantt!H7</f>
        <v>46118</v>
      </c>
      <c r="F21" s="72">
        <f>Gantt!E7</f>
        <v>1</v>
      </c>
      <c r="G21" s="72">
        <f t="shared" ref="G21:G32" si="2">IF(E21&gt;1,E21-D21+1,IF(D21&gt;1,"🔄",""))</f>
        <v>1</v>
      </c>
      <c r="H21" s="72">
        <f t="shared" si="1"/>
        <v>-1</v>
      </c>
      <c r="I21" s="73">
        <f t="shared" si="0"/>
        <v>-1</v>
      </c>
      <c r="J21" s="73">
        <f ca="1">Gantt!I7</f>
        <v>-1</v>
      </c>
      <c r="K21" s="69" t="str">
        <f>Gantt!L7</f>
        <v>Completado</v>
      </c>
    </row>
    <row r="22" spans="1:11" x14ac:dyDescent="0.3">
      <c r="A22" s="69" t="str">
        <f>Gantt!B9</f>
        <v>Levantamiento con cliente</v>
      </c>
      <c r="B22" s="101">
        <f>Gantt!D9</f>
        <v>46120</v>
      </c>
      <c r="C22" s="101">
        <f>Gantt!F9</f>
        <v>46129</v>
      </c>
      <c r="D22" s="101">
        <f>Gantt!G9</f>
        <v>46122</v>
      </c>
      <c r="E22" s="101">
        <f>Gantt!H9</f>
        <v>46127</v>
      </c>
      <c r="F22" s="69">
        <f>Gantt!E9</f>
        <v>8</v>
      </c>
      <c r="G22" s="69">
        <f t="shared" si="2"/>
        <v>6</v>
      </c>
      <c r="H22" s="72">
        <f t="shared" si="1"/>
        <v>2</v>
      </c>
      <c r="I22" s="73">
        <f t="shared" si="0"/>
        <v>-2</v>
      </c>
      <c r="J22" s="73">
        <f ca="1">Gantt!I9</f>
        <v>-2</v>
      </c>
      <c r="K22" s="69" t="str">
        <f>Gantt!L9</f>
        <v>Completado</v>
      </c>
    </row>
    <row r="23" spans="1:11" x14ac:dyDescent="0.3">
      <c r="A23" s="69" t="str">
        <f>Gantt!B10</f>
        <v>Documentación de requisitos</v>
      </c>
      <c r="B23" s="101">
        <f>Gantt!D10</f>
        <v>46132</v>
      </c>
      <c r="C23" s="101">
        <f>Gantt!F10</f>
        <v>46147</v>
      </c>
      <c r="D23" s="101">
        <f>Gantt!G10</f>
        <v>46132</v>
      </c>
      <c r="E23" s="101">
        <f>Gantt!H10</f>
        <v>46146</v>
      </c>
      <c r="F23" s="69">
        <f>Gantt!E10</f>
        <v>11</v>
      </c>
      <c r="G23" s="72">
        <f t="shared" si="2"/>
        <v>15</v>
      </c>
      <c r="H23" s="72">
        <f t="shared" si="1"/>
        <v>0</v>
      </c>
      <c r="I23" s="73">
        <f t="shared" si="0"/>
        <v>-1</v>
      </c>
      <c r="J23" s="73">
        <f ca="1">Gantt!I10</f>
        <v>-1</v>
      </c>
      <c r="K23" s="69" t="str">
        <f>Gantt!L10</f>
        <v>Completado</v>
      </c>
    </row>
    <row r="24" spans="1:11" x14ac:dyDescent="0.3">
      <c r="A24" s="69" t="str">
        <f>Gantt!B11</f>
        <v>Validación y aprobación</v>
      </c>
      <c r="B24" s="101">
        <f>Gantt!D11</f>
        <v>46148</v>
      </c>
      <c r="C24" s="101">
        <f>Gantt!F11</f>
        <v>46148</v>
      </c>
      <c r="D24" s="101">
        <f>Gantt!G11</f>
        <v>46148</v>
      </c>
      <c r="E24" s="101">
        <f>Gantt!H11</f>
        <v>46148</v>
      </c>
      <c r="F24" s="69">
        <f>Gantt!E11</f>
        <v>1</v>
      </c>
      <c r="G24" s="69">
        <f t="shared" si="2"/>
        <v>1</v>
      </c>
      <c r="H24" s="72">
        <f t="shared" si="1"/>
        <v>0</v>
      </c>
      <c r="I24" s="73">
        <f t="shared" si="0"/>
        <v>0</v>
      </c>
      <c r="J24" s="73">
        <f ca="1">Gantt!I11</f>
        <v>0</v>
      </c>
      <c r="K24" s="69" t="str">
        <f>Gantt!L11</f>
        <v>Completado</v>
      </c>
    </row>
    <row r="25" spans="1:11" x14ac:dyDescent="0.3">
      <c r="A25" s="72" t="str">
        <f>Gantt!B13</f>
        <v>Arquitectura del sistema</v>
      </c>
      <c r="B25" s="100">
        <f>Gantt!D13</f>
        <v>46149</v>
      </c>
      <c r="C25" s="100">
        <f>Gantt!F13</f>
        <v>46153</v>
      </c>
      <c r="D25" s="100">
        <f>Gantt!G13</f>
        <v>46154</v>
      </c>
      <c r="E25" s="100">
        <f>Gantt!H13</f>
        <v>46155</v>
      </c>
      <c r="F25" s="72">
        <f>Gantt!E13</f>
        <v>3</v>
      </c>
      <c r="G25" s="72">
        <f t="shared" si="2"/>
        <v>2</v>
      </c>
      <c r="H25" s="72">
        <f t="shared" si="1"/>
        <v>5</v>
      </c>
      <c r="I25" s="73">
        <f t="shared" si="0"/>
        <v>2</v>
      </c>
      <c r="J25" s="73">
        <f ca="1">Gantt!I13</f>
        <v>2</v>
      </c>
      <c r="K25" s="69" t="str">
        <f>Gantt!L13</f>
        <v>Completado</v>
      </c>
    </row>
    <row r="26" spans="1:11" x14ac:dyDescent="0.3">
      <c r="A26" s="72" t="str">
        <f>Gantt!B14</f>
        <v>Diseño de base de datos</v>
      </c>
      <c r="B26" s="100">
        <f>Gantt!D14</f>
        <v>46154</v>
      </c>
      <c r="C26" s="100">
        <f>Gantt!F14</f>
        <v>46155</v>
      </c>
      <c r="D26" s="100">
        <f>Gantt!G14</f>
        <v>46155</v>
      </c>
      <c r="E26" s="100">
        <f>Gantt!H14</f>
        <v>46156</v>
      </c>
      <c r="F26" s="72">
        <f>Gantt!E14</f>
        <v>2</v>
      </c>
      <c r="G26" s="69">
        <f t="shared" si="2"/>
        <v>2</v>
      </c>
      <c r="H26" s="72">
        <f t="shared" si="1"/>
        <v>1</v>
      </c>
      <c r="I26" s="73">
        <f t="shared" si="0"/>
        <v>1</v>
      </c>
      <c r="J26" s="73">
        <f ca="1">Gantt!I14</f>
        <v>1</v>
      </c>
      <c r="K26" s="69" t="str">
        <f>Gantt!L14</f>
        <v>Completado</v>
      </c>
    </row>
    <row r="27" spans="1:11" x14ac:dyDescent="0.3">
      <c r="A27" s="72" t="str">
        <f>Gantt!B15</f>
        <v>Diseño UX/UI</v>
      </c>
      <c r="B27" s="100">
        <f>Gantt!D15</f>
        <v>46156</v>
      </c>
      <c r="C27" s="100">
        <f>Gantt!F15</f>
        <v>46161</v>
      </c>
      <c r="D27" s="100">
        <f>Gantt!G15</f>
        <v>46155</v>
      </c>
      <c r="E27" s="100">
        <f>Gantt!H15</f>
        <v>46156</v>
      </c>
      <c r="F27" s="72">
        <f>Gantt!E15</f>
        <v>4</v>
      </c>
      <c r="G27" s="72">
        <f t="shared" si="2"/>
        <v>2</v>
      </c>
      <c r="H27" s="72">
        <f t="shared" si="1"/>
        <v>-1</v>
      </c>
      <c r="I27" s="73">
        <f t="shared" si="0"/>
        <v>-5</v>
      </c>
      <c r="J27" s="73">
        <f ca="1">Gantt!I15</f>
        <v>-3</v>
      </c>
      <c r="K27" s="69" t="str">
        <f>Gantt!L15</f>
        <v>Completado</v>
      </c>
    </row>
    <row r="28" spans="1:11" x14ac:dyDescent="0.3">
      <c r="A28" s="72" t="str">
        <f>Gantt!B16</f>
        <v>Revisión y aprobación</v>
      </c>
      <c r="B28" s="100">
        <f>Gantt!D16</f>
        <v>46162</v>
      </c>
      <c r="C28" s="100">
        <f>Gantt!F16</f>
        <v>46162</v>
      </c>
      <c r="D28" s="100">
        <f>Gantt!G16</f>
        <v>0</v>
      </c>
      <c r="E28" s="100">
        <f>Gantt!H16</f>
        <v>0</v>
      </c>
      <c r="F28" s="72">
        <f>Gantt!E16</f>
        <v>1</v>
      </c>
      <c r="G28" s="69" t="str">
        <f t="shared" si="2"/>
        <v/>
      </c>
      <c r="H28" s="72" t="str">
        <f t="shared" si="1"/>
        <v/>
      </c>
      <c r="I28" s="73" t="str">
        <f t="shared" si="0"/>
        <v/>
      </c>
      <c r="J28" s="73">
        <f ca="1">Gantt!I16</f>
        <v>17</v>
      </c>
      <c r="K28" s="69" t="str">
        <f>Gantt!L16</f>
        <v>En curso</v>
      </c>
    </row>
    <row r="29" spans="1:11" x14ac:dyDescent="0.3">
      <c r="A29" s="72" t="str">
        <f>Gantt!B18</f>
        <v>Configuración de entorno</v>
      </c>
      <c r="B29" s="100">
        <f>Gantt!D18</f>
        <v>46163</v>
      </c>
      <c r="C29" s="100">
        <f>Gantt!F18</f>
        <v>46164</v>
      </c>
      <c r="D29" s="100">
        <f>Gantt!G18</f>
        <v>46153</v>
      </c>
      <c r="E29" s="100">
        <f>Gantt!H18</f>
        <v>46156</v>
      </c>
      <c r="F29" s="72">
        <f>Gantt!E18</f>
        <v>2</v>
      </c>
      <c r="G29" s="72">
        <f t="shared" si="2"/>
        <v>4</v>
      </c>
      <c r="H29" s="72">
        <f t="shared" si="1"/>
        <v>-10</v>
      </c>
      <c r="I29" s="73">
        <f t="shared" si="0"/>
        <v>-8</v>
      </c>
      <c r="J29" s="73">
        <f ca="1">Gantt!I18</f>
        <v>-6</v>
      </c>
      <c r="K29" s="69" t="str">
        <f>Gantt!L18</f>
        <v>Completado</v>
      </c>
    </row>
    <row r="30" spans="1:11" x14ac:dyDescent="0.3">
      <c r="A30" s="72" t="str">
        <f>Gantt!B19</f>
        <v>Módulo de autenticación</v>
      </c>
      <c r="B30" s="100">
        <f>Gantt!D19</f>
        <v>46167</v>
      </c>
      <c r="C30" s="100">
        <f>Gantt!F19</f>
        <v>46167</v>
      </c>
      <c r="D30" s="100">
        <f>Gantt!G19</f>
        <v>46154</v>
      </c>
      <c r="E30" s="100">
        <f>Gantt!H19</f>
        <v>0</v>
      </c>
      <c r="F30" s="72">
        <f>Gantt!E19</f>
        <v>1</v>
      </c>
      <c r="G30" s="69" t="str">
        <f t="shared" si="2"/>
        <v>🔄</v>
      </c>
      <c r="H30" s="72">
        <f t="shared" si="1"/>
        <v>-13</v>
      </c>
      <c r="I30" s="73" t="str">
        <f t="shared" si="0"/>
        <v/>
      </c>
      <c r="J30" s="73">
        <f ca="1">Gantt!I19</f>
        <v>14</v>
      </c>
      <c r="K30" s="69" t="str">
        <f>Gantt!L19</f>
        <v>Pendiente</v>
      </c>
    </row>
    <row r="31" spans="1:11" x14ac:dyDescent="0.3">
      <c r="A31" s="72" t="str">
        <f>Gantt!B20</f>
        <v>Módulos funcionales core</v>
      </c>
      <c r="B31" s="100">
        <f>Gantt!D20</f>
        <v>46168</v>
      </c>
      <c r="C31" s="100">
        <f>Gantt!F20</f>
        <v>46188</v>
      </c>
      <c r="D31" s="100">
        <f>Gantt!G20</f>
        <v>46132</v>
      </c>
      <c r="E31" s="100">
        <f>Gantt!H20</f>
        <v>0</v>
      </c>
      <c r="F31" s="72">
        <f>Gantt!E20</f>
        <v>14</v>
      </c>
      <c r="G31" s="72" t="str">
        <f t="shared" si="2"/>
        <v>🔄</v>
      </c>
      <c r="H31" s="72">
        <f t="shared" si="1"/>
        <v>-36</v>
      </c>
      <c r="I31" s="73" t="str">
        <f t="shared" si="0"/>
        <v/>
      </c>
      <c r="J31" s="73">
        <f ca="1">Gantt!I20</f>
        <v>0</v>
      </c>
      <c r="K31" s="69" t="str">
        <f>Gantt!L20</f>
        <v>Pendiente</v>
      </c>
    </row>
    <row r="32" spans="1:11" x14ac:dyDescent="0.3">
      <c r="A32" s="72" t="str">
        <f>Gantt!B21</f>
        <v>Integraciones / APIs</v>
      </c>
      <c r="B32" s="100">
        <f>Gantt!D21</f>
        <v>46189</v>
      </c>
      <c r="C32" s="100">
        <f>Gantt!F21</f>
        <v>46203</v>
      </c>
      <c r="D32" s="100">
        <f>Gantt!G21</f>
        <v>46113</v>
      </c>
      <c r="E32" s="100">
        <f>Gantt!H21</f>
        <v>0</v>
      </c>
      <c r="F32" s="72">
        <f>Gantt!E21</f>
        <v>11</v>
      </c>
      <c r="G32" s="69" t="str">
        <f t="shared" si="2"/>
        <v>🔄</v>
      </c>
      <c r="H32" s="72">
        <f t="shared" si="1"/>
        <v>-76</v>
      </c>
      <c r="I32" s="73" t="str">
        <f t="shared" si="0"/>
        <v/>
      </c>
      <c r="J32" s="73">
        <f ca="1">Gantt!I21</f>
        <v>0</v>
      </c>
      <c r="K32" s="69" t="str">
        <f>Gantt!L21</f>
        <v>Pendiente</v>
      </c>
    </row>
    <row r="33" spans="1:11" x14ac:dyDescent="0.3">
      <c r="A33" s="72" t="str">
        <f>Gantt!B22</f>
        <v>Frontend y UI</v>
      </c>
      <c r="B33" s="100">
        <f>Gantt!D22</f>
        <v>46204</v>
      </c>
      <c r="C33" s="100">
        <f>Gantt!F22</f>
        <v>46216</v>
      </c>
      <c r="D33" s="100">
        <f>Gantt!G22</f>
        <v>46125</v>
      </c>
      <c r="E33" s="100">
        <f>Gantt!H22</f>
        <v>0</v>
      </c>
      <c r="F33" s="72">
        <f>Gantt!E22</f>
        <v>9</v>
      </c>
      <c r="G33" s="72" t="str">
        <f>IF(E33&gt;1,E33-D33+1,IF(D33&gt;1,"🔄",""))</f>
        <v>🔄</v>
      </c>
      <c r="H33" s="72">
        <f t="shared" si="1"/>
        <v>-79</v>
      </c>
      <c r="I33" s="73" t="str">
        <f t="shared" si="0"/>
        <v/>
      </c>
      <c r="J33" s="73">
        <f ca="1">Gantt!I22</f>
        <v>0</v>
      </c>
      <c r="K33" s="69" t="str">
        <f>Gantt!L22</f>
        <v>Pendiente</v>
      </c>
    </row>
    <row r="34" spans="1:11" x14ac:dyDescent="0.3">
      <c r="A34" s="69" t="str">
        <f>Gantt!B24</f>
        <v>Pruebas unitarias</v>
      </c>
      <c r="B34" s="101">
        <f>Gantt!D24</f>
        <v>46217</v>
      </c>
      <c r="C34" s="101">
        <f>Gantt!F24</f>
        <v>46217</v>
      </c>
      <c r="D34" s="101">
        <f>Gantt!G24</f>
        <v>0</v>
      </c>
      <c r="E34" s="101">
        <f>Gantt!H24</f>
        <v>0</v>
      </c>
      <c r="F34" s="69">
        <f>Gantt!E24</f>
        <v>1</v>
      </c>
      <c r="G34" s="72" t="str">
        <f t="shared" ref="G34:G41" si="3">IF(E34&gt;1,E34-D34+1,IF(D34&gt;1,"🔄",""))</f>
        <v/>
      </c>
      <c r="H34" s="72" t="str">
        <f t="shared" si="1"/>
        <v/>
      </c>
      <c r="I34" s="73" t="str">
        <f t="shared" si="0"/>
        <v/>
      </c>
      <c r="J34" s="73">
        <f ca="1">Gantt!I24</f>
        <v>0</v>
      </c>
      <c r="K34" s="69" t="str">
        <f>Gantt!L24</f>
        <v>Pendiente</v>
      </c>
    </row>
    <row r="35" spans="1:11" x14ac:dyDescent="0.3">
      <c r="A35" s="69" t="str">
        <f>Gantt!B25</f>
        <v>Pruebas de integración</v>
      </c>
      <c r="B35" s="101">
        <f>Gantt!D25</f>
        <v>46218</v>
      </c>
      <c r="C35" s="101">
        <f>Gantt!F25</f>
        <v>46219</v>
      </c>
      <c r="D35" s="101">
        <f>Gantt!G25</f>
        <v>0</v>
      </c>
      <c r="E35" s="101">
        <f>Gantt!H25</f>
        <v>0</v>
      </c>
      <c r="F35" s="69">
        <f>Gantt!E25</f>
        <v>2</v>
      </c>
      <c r="G35" s="72" t="str">
        <f t="shared" si="3"/>
        <v/>
      </c>
      <c r="H35" s="72" t="str">
        <f t="shared" si="1"/>
        <v/>
      </c>
      <c r="I35" s="73" t="str">
        <f t="shared" si="0"/>
        <v/>
      </c>
      <c r="J35" s="73">
        <f ca="1">Gantt!I25</f>
        <v>0</v>
      </c>
      <c r="K35" s="69" t="str">
        <f>Gantt!L25</f>
        <v>Pendiente</v>
      </c>
    </row>
    <row r="36" spans="1:11" x14ac:dyDescent="0.3">
      <c r="A36" s="69" t="str">
        <f>Gantt!B26</f>
        <v>Pruebas de usuario (UAT)</v>
      </c>
      <c r="B36" s="101">
        <f>Gantt!D26</f>
        <v>46220</v>
      </c>
      <c r="C36" s="101">
        <f>Gantt!F26</f>
        <v>46223</v>
      </c>
      <c r="D36" s="101">
        <f>Gantt!G26</f>
        <v>0</v>
      </c>
      <c r="E36" s="101">
        <f>Gantt!H26</f>
        <v>0</v>
      </c>
      <c r="F36" s="69">
        <f>Gantt!E26</f>
        <v>2</v>
      </c>
      <c r="G36" s="72" t="str">
        <f t="shared" si="3"/>
        <v/>
      </c>
      <c r="H36" s="72" t="str">
        <f t="shared" si="1"/>
        <v/>
      </c>
      <c r="I36" s="73" t="str">
        <f t="shared" si="0"/>
        <v/>
      </c>
      <c r="J36" s="73">
        <f ca="1">Gantt!I26</f>
        <v>0</v>
      </c>
      <c r="K36" s="69" t="str">
        <f>Gantt!L26</f>
        <v>Pendiente</v>
      </c>
    </row>
    <row r="37" spans="1:11" x14ac:dyDescent="0.3">
      <c r="A37" s="69" t="str">
        <f>Gantt!B27</f>
        <v>Pruebas de ciberseguridad</v>
      </c>
      <c r="B37" s="101">
        <f>Gantt!D27</f>
        <v>46224</v>
      </c>
      <c r="C37" s="101">
        <f>Gantt!F27</f>
        <v>46225</v>
      </c>
      <c r="D37" s="101">
        <f>Gantt!G27</f>
        <v>0</v>
      </c>
      <c r="E37" s="101">
        <f>Gantt!H27</f>
        <v>0</v>
      </c>
      <c r="F37" s="69">
        <f>Gantt!E27</f>
        <v>2</v>
      </c>
      <c r="G37" s="72" t="str">
        <f t="shared" si="3"/>
        <v/>
      </c>
      <c r="H37" s="72" t="str">
        <f t="shared" si="1"/>
        <v/>
      </c>
      <c r="I37" s="73" t="str">
        <f t="shared" si="0"/>
        <v/>
      </c>
      <c r="J37" s="73">
        <f ca="1">Gantt!I27</f>
        <v>0</v>
      </c>
      <c r="K37" s="69" t="str">
        <f>Gantt!L27</f>
        <v>Pendiente</v>
      </c>
    </row>
    <row r="38" spans="1:11" x14ac:dyDescent="0.3">
      <c r="A38" s="69" t="str">
        <f>Gantt!B28</f>
        <v>Corrección de bugs</v>
      </c>
      <c r="B38" s="101">
        <f>Gantt!D28</f>
        <v>46226</v>
      </c>
      <c r="C38" s="101">
        <f>Gantt!F28</f>
        <v>46230</v>
      </c>
      <c r="D38" s="101">
        <f>Gantt!G28</f>
        <v>0</v>
      </c>
      <c r="E38" s="101">
        <f>Gantt!H28</f>
        <v>0</v>
      </c>
      <c r="F38" s="69">
        <f>Gantt!E28</f>
        <v>3</v>
      </c>
      <c r="G38" s="72" t="str">
        <f t="shared" si="3"/>
        <v/>
      </c>
      <c r="H38" s="72" t="str">
        <f t="shared" si="1"/>
        <v/>
      </c>
      <c r="I38" s="73" t="str">
        <f t="shared" si="0"/>
        <v/>
      </c>
      <c r="J38" s="73">
        <f ca="1">Gantt!I28</f>
        <v>0</v>
      </c>
      <c r="K38" s="69" t="str">
        <f>Gantt!L28</f>
        <v>Pendiente</v>
      </c>
    </row>
    <row r="39" spans="1:11" x14ac:dyDescent="0.3">
      <c r="A39" s="72" t="str">
        <f>Gantt!B30</f>
        <v>Preparación de entorno prod.</v>
      </c>
      <c r="B39" s="100">
        <f>Gantt!D30</f>
        <v>46231</v>
      </c>
      <c r="C39" s="100">
        <f>Gantt!F30</f>
        <v>46231</v>
      </c>
      <c r="D39" s="100">
        <f>Gantt!G30</f>
        <v>0</v>
      </c>
      <c r="E39" s="100">
        <f>Gantt!H30</f>
        <v>0</v>
      </c>
      <c r="F39" s="72">
        <f>Gantt!E30</f>
        <v>1</v>
      </c>
      <c r="G39" s="72" t="str">
        <f t="shared" si="3"/>
        <v/>
      </c>
      <c r="H39" s="72" t="str">
        <f t="shared" si="1"/>
        <v/>
      </c>
      <c r="I39" s="73" t="str">
        <f t="shared" si="0"/>
        <v/>
      </c>
      <c r="J39" s="73">
        <f ca="1">Gantt!I30</f>
        <v>0</v>
      </c>
      <c r="K39" s="69" t="str">
        <f>Gantt!L30</f>
        <v>Pendiente</v>
      </c>
    </row>
    <row r="40" spans="1:11" x14ac:dyDescent="0.3">
      <c r="A40" s="72" t="str">
        <f>Gantt!B31</f>
        <v>Pase a producción</v>
      </c>
      <c r="B40" s="100">
        <f>Gantt!D31</f>
        <v>46232</v>
      </c>
      <c r="C40" s="100">
        <f>Gantt!F31</f>
        <v>46232</v>
      </c>
      <c r="D40" s="100">
        <f>Gantt!G31</f>
        <v>0</v>
      </c>
      <c r="E40" s="100">
        <f>Gantt!H31</f>
        <v>0</v>
      </c>
      <c r="F40" s="72">
        <f>Gantt!E31</f>
        <v>1</v>
      </c>
      <c r="G40" s="72" t="str">
        <f t="shared" si="3"/>
        <v/>
      </c>
      <c r="H40" s="72" t="str">
        <f t="shared" si="1"/>
        <v/>
      </c>
      <c r="I40" s="73" t="str">
        <f t="shared" si="0"/>
        <v/>
      </c>
      <c r="J40" s="73">
        <f ca="1">Gantt!I31</f>
        <v>0</v>
      </c>
      <c r="K40" s="69" t="str">
        <f>Gantt!L31</f>
        <v>Pendiente</v>
      </c>
    </row>
    <row r="41" spans="1:11" x14ac:dyDescent="0.3">
      <c r="A41" s="72" t="str">
        <f>Gantt!B32</f>
        <v>Capacitación a usuarios</v>
      </c>
      <c r="B41" s="100">
        <f>Gantt!D32</f>
        <v>46233</v>
      </c>
      <c r="C41" s="100">
        <f>Gantt!F32</f>
        <v>46233</v>
      </c>
      <c r="D41" s="100">
        <f>Gantt!G32</f>
        <v>0</v>
      </c>
      <c r="E41" s="100">
        <f>Gantt!H32</f>
        <v>0</v>
      </c>
      <c r="F41" s="72">
        <f>Gantt!E32</f>
        <v>1</v>
      </c>
      <c r="G41" s="72" t="str">
        <f t="shared" si="3"/>
        <v/>
      </c>
      <c r="H41" s="72" t="str">
        <f t="shared" si="1"/>
        <v/>
      </c>
      <c r="I41" s="73" t="str">
        <f t="shared" si="0"/>
        <v/>
      </c>
      <c r="J41" s="73">
        <f ca="1">Gantt!I32</f>
        <v>0</v>
      </c>
      <c r="K41" s="69" t="str">
        <f>Gantt!L32</f>
        <v>Pendiente</v>
      </c>
    </row>
  </sheetData>
  <mergeCells count="8">
    <mergeCell ref="I7:I8"/>
    <mergeCell ref="A16:K16"/>
    <mergeCell ref="A1:B1"/>
    <mergeCell ref="G5:G6"/>
    <mergeCell ref="H5:H6"/>
    <mergeCell ref="I5:I6"/>
    <mergeCell ref="G7:G8"/>
    <mergeCell ref="H7:H8"/>
  </mergeCells>
  <conditionalFormatting sqref="H19:J41">
    <cfRule type="cellIs" dxfId="5" priority="4" operator="greaterThan">
      <formula>0</formula>
    </cfRule>
    <cfRule type="cellIs" dxfId="4" priority="5" operator="lessThan">
      <formula>0</formula>
    </cfRule>
    <cfRule type="cellIs" dxfId="3" priority="6" operator="equal">
      <formula>0</formula>
    </cfRule>
  </conditionalFormatting>
  <conditionalFormatting sqref="K19:K41">
    <cfRule type="containsText" dxfId="2" priority="1" operator="containsText" text="Completado">
      <formula>NOT(ISERROR(SEARCH("Completado",K19)))</formula>
    </cfRule>
    <cfRule type="containsText" dxfId="1" priority="2" operator="containsText" text="En curso">
      <formula>NOT(ISERROR(SEARCH("En curso",K19)))</formula>
    </cfRule>
    <cfRule type="containsText" dxfId="0" priority="3" operator="containsText" text="Pendiente">
      <formula>NOT(ISERROR(SEARCH("Pendiente",K19)))</formula>
    </cfRule>
  </conditionalFormatting>
  <pageMargins left="0.75" right="0.75" top="1" bottom="1" header="0.5" footer="0.5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D1120-2E6C-4136-9B09-B539AABD3A6E}">
  <dimension ref="A1:U60"/>
  <sheetViews>
    <sheetView zoomScale="70" zoomScaleNormal="70" workbookViewId="0">
      <selection activeCell="E5" sqref="E5"/>
    </sheetView>
  </sheetViews>
  <sheetFormatPr baseColWidth="10" defaultColWidth="11.44140625" defaultRowHeight="14.4" x14ac:dyDescent="0.3"/>
  <cols>
    <col min="1" max="1" width="31.44140625" customWidth="1"/>
    <col min="2" max="2" width="15.6640625" customWidth="1"/>
    <col min="3" max="3" width="13.88671875" customWidth="1"/>
    <col min="4" max="7" width="9.33203125" customWidth="1"/>
    <col min="8" max="16" width="1.88671875" customWidth="1"/>
    <col min="17" max="21" width="1.88671875" hidden="1" customWidth="1"/>
    <col min="22" max="91" width="1.88671875" customWidth="1"/>
  </cols>
  <sheetData>
    <row r="1" spans="1:21" ht="25.95" customHeight="1" thickBot="1" x14ac:dyDescent="0.45">
      <c r="A1" s="74" t="s">
        <v>183</v>
      </c>
      <c r="E1" s="76"/>
      <c r="F1" s="83"/>
    </row>
    <row r="2" spans="1:21" ht="18" customHeight="1" x14ac:dyDescent="0.3">
      <c r="A2" s="75" t="s">
        <v>184</v>
      </c>
    </row>
    <row r="4" spans="1:21" ht="19.95" customHeight="1" x14ac:dyDescent="0.3">
      <c r="A4" s="77" t="s">
        <v>171</v>
      </c>
      <c r="C4" s="79" t="s">
        <v>172</v>
      </c>
      <c r="E4" s="81" t="s">
        <v>173</v>
      </c>
    </row>
    <row r="5" spans="1:21" ht="28.2" x14ac:dyDescent="0.5">
      <c r="A5" s="78">
        <f>Gantt!K2</f>
        <v>0.29200000000000004</v>
      </c>
      <c r="C5" s="80" cm="1">
        <f t="array" aca="1" ref="C5" ca="1">SUMPRODUCT((Gantt!H5:H32&gt;Gantt!F5:F32)*(Gantt!H5:H32&lt;&gt;"")) + SUMPRODUCT((Gantt!H5:H32="")*(Gantt!G5:G32&lt;&gt;"")*(TODAY()&gt;Gantt!F5:F32))</f>
        <v>3</v>
      </c>
      <c r="E5" s="82" t="str" cm="1">
        <f t="array" ref="E5">IFERROR("+"&amp;ROUND(SUMPRODUCT((Gantt!H5:H32&lt;&gt;"")*(Gantt!H5:H32-Gantt!F5:F32))/SUMPRODUCT((Gantt!H5:H32&lt;&gt;"")*1),1)&amp;" días","-")</f>
        <v>+-1,9 días</v>
      </c>
    </row>
    <row r="6" spans="1:21" ht="18" customHeight="1" x14ac:dyDescent="0.3"/>
    <row r="7" spans="1:21" ht="18" customHeight="1" x14ac:dyDescent="0.3"/>
    <row r="8" spans="1:21" ht="18" customHeight="1" x14ac:dyDescent="0.3">
      <c r="Q8" t="s">
        <v>185</v>
      </c>
      <c r="R8" t="s">
        <v>186</v>
      </c>
      <c r="S8" t="s">
        <v>187</v>
      </c>
      <c r="T8" t="s">
        <v>188</v>
      </c>
      <c r="U8" t="s">
        <v>189</v>
      </c>
    </row>
    <row r="9" spans="1:21" ht="18" customHeight="1" x14ac:dyDescent="0.3">
      <c r="Q9" t="str">
        <f>Gantt!B5&amp;" (P)"</f>
        <v>Definición de alcance (P)</v>
      </c>
      <c r="R9">
        <f>Gantt!D5-FechaInicioProyecto</f>
        <v>0</v>
      </c>
      <c r="S9">
        <f>Gantt!F5-Gantt!D5+1</f>
        <v>2</v>
      </c>
      <c r="T9" t="e">
        <f>NA()</f>
        <v>#N/A</v>
      </c>
      <c r="U9" t="e">
        <f>NA()</f>
        <v>#N/A</v>
      </c>
    </row>
    <row r="10" spans="1:21" ht="18" customHeight="1" x14ac:dyDescent="0.3">
      <c r="Q10" t="str">
        <f>Gantt!B5&amp;" (R)"</f>
        <v>Definición de alcance (R)</v>
      </c>
      <c r="R10">
        <f>IF(Gantt!G5="",NA(),Gantt!G5-FechaInicioProyecto)</f>
        <v>0</v>
      </c>
      <c r="S10" t="e">
        <f>NA()</f>
        <v>#N/A</v>
      </c>
      <c r="T10">
        <f ca="1">IF(Gantt!G5="",NA(),IF(IF(Gantt!H5="",IF(TODAY()&gt;Gantt!F5,1,0),IF(Gantt!H5&gt;Gantt!F5,1,0))=1,NA(),IF(Gantt!H5="",MAX(TODAY()-Gantt!G5+1,0),Gantt!H5-Gantt!G5+1)))</f>
        <v>1</v>
      </c>
      <c r="U10" t="e">
        <f ca="1">IF(Gantt!G5="",NA(),IF(IF(Gantt!H5="",IF(TODAY()&gt;Gantt!F5,1,0),IF(Gantt!H5&gt;Gantt!F5,1,0))=1,IF(Gantt!H5="",MAX(TODAY()-Gantt!G5+1,0),Gantt!H5-Gantt!G5+1),NA()))</f>
        <v>#N/A</v>
      </c>
    </row>
    <row r="11" spans="1:21" ht="18" customHeight="1" x14ac:dyDescent="0.3">
      <c r="Q11" t="str">
        <f>Gantt!B6&amp;" (P)"</f>
        <v>Viabilidad y recursos (P)</v>
      </c>
      <c r="R11">
        <f>Gantt!D6-FechaInicioProyecto</f>
        <v>5</v>
      </c>
      <c r="S11">
        <f>Gantt!F6-Gantt!D6+1</f>
        <v>1</v>
      </c>
      <c r="T11" t="e">
        <f>NA()</f>
        <v>#N/A</v>
      </c>
      <c r="U11" t="e">
        <f>NA()</f>
        <v>#N/A</v>
      </c>
    </row>
    <row r="12" spans="1:21" ht="18" customHeight="1" x14ac:dyDescent="0.3">
      <c r="Q12" t="str">
        <f>Gantt!B6&amp;" (R)"</f>
        <v>Viabilidad y recursos (R)</v>
      </c>
      <c r="R12">
        <f>IF(Gantt!G6="",NA(),Gantt!G6-FechaInicioProyecto)</f>
        <v>1</v>
      </c>
      <c r="S12" t="e">
        <f>NA()</f>
        <v>#N/A</v>
      </c>
      <c r="T12">
        <f ca="1">IF(Gantt!G6="",NA(),IF(IF(Gantt!H6="",IF(TODAY()&gt;Gantt!F6,1,0),IF(Gantt!H6&gt;Gantt!F6,1,0))=1,NA(),IF(Gantt!H6="",MAX(TODAY()-Gantt!G6+1,0),Gantt!H6-Gantt!G6+1)))</f>
        <v>1</v>
      </c>
      <c r="U12" t="e">
        <f ca="1">IF(Gantt!G6="",NA(),IF(IF(Gantt!H6="",IF(TODAY()&gt;Gantt!F6,1,0),IF(Gantt!H6&gt;Gantt!F6,1,0))=1,IF(Gantt!H6="",MAX(TODAY()-Gantt!G6+1,0),Gantt!H6-Gantt!G6+1),NA()))</f>
        <v>#N/A</v>
      </c>
    </row>
    <row r="13" spans="1:21" ht="18" customHeight="1" x14ac:dyDescent="0.3">
      <c r="Q13" t="str">
        <f>Gantt!B7&amp;" (P)"</f>
        <v>Cronograma inicial (P)</v>
      </c>
      <c r="R13">
        <f>Gantt!D7-FechaInicioProyecto</f>
        <v>6</v>
      </c>
      <c r="S13">
        <f>Gantt!F7-Gantt!D7+1</f>
        <v>1</v>
      </c>
      <c r="T13" t="e">
        <f>NA()</f>
        <v>#N/A</v>
      </c>
      <c r="U13" t="e">
        <f>NA()</f>
        <v>#N/A</v>
      </c>
    </row>
    <row r="14" spans="1:21" ht="18" customHeight="1" x14ac:dyDescent="0.3">
      <c r="Q14" t="str">
        <f>Gantt!B7&amp;" (R)"</f>
        <v>Cronograma inicial (R)</v>
      </c>
      <c r="R14">
        <f>IF(Gantt!G7="",NA(),Gantt!G7-FechaInicioProyecto)</f>
        <v>5</v>
      </c>
      <c r="S14" t="e">
        <f>NA()</f>
        <v>#N/A</v>
      </c>
      <c r="T14">
        <f ca="1">IF(Gantt!G7="",NA(),IF(IF(Gantt!H7="",IF(TODAY()&gt;Gantt!F7,1,0),IF(Gantt!H7&gt;Gantt!F7,1,0))=1,NA(),IF(Gantt!H7="",MAX(TODAY()-Gantt!G7+1,0),Gantt!H7-Gantt!G7+1)))</f>
        <v>1</v>
      </c>
      <c r="U14" t="e">
        <f ca="1">IF(Gantt!G7="",NA(),IF(IF(Gantt!H7="",IF(TODAY()&gt;Gantt!F7,1,0),IF(Gantt!H7&gt;Gantt!F7,1,0))=1,IF(Gantt!H7="",MAX(TODAY()-Gantt!G7+1,0),Gantt!H7-Gantt!G7+1),NA()))</f>
        <v>#N/A</v>
      </c>
    </row>
    <row r="15" spans="1:21" ht="18" customHeight="1" x14ac:dyDescent="0.3">
      <c r="Q15" t="str">
        <f>Gantt!B9&amp;" (P)"</f>
        <v>Levantamiento con cliente (P)</v>
      </c>
      <c r="R15">
        <f>Gantt!D9-FechaInicioProyecto</f>
        <v>7</v>
      </c>
      <c r="S15">
        <f>Gantt!F9-Gantt!D9+1</f>
        <v>10</v>
      </c>
      <c r="T15" t="e">
        <f>NA()</f>
        <v>#N/A</v>
      </c>
      <c r="U15" t="e">
        <f>NA()</f>
        <v>#N/A</v>
      </c>
    </row>
    <row r="16" spans="1:21" ht="18" customHeight="1" x14ac:dyDescent="0.3">
      <c r="Q16" t="str">
        <f>Gantt!B9&amp;" (R)"</f>
        <v>Levantamiento con cliente (R)</v>
      </c>
      <c r="R16">
        <f>IF(Gantt!G9="",NA(),Gantt!G9-FechaInicioProyecto)</f>
        <v>9</v>
      </c>
      <c r="S16" t="e">
        <f>NA()</f>
        <v>#N/A</v>
      </c>
      <c r="T16">
        <f ca="1">IF(Gantt!G9="",NA(),IF(IF(Gantt!H9="",IF(TODAY()&gt;Gantt!F9,1,0),IF(Gantt!H9&gt;Gantt!F9,1,0))=1,NA(),IF(Gantt!H9="",MAX(TODAY()-Gantt!G9+1,0),Gantt!H9-Gantt!G9+1)))</f>
        <v>6</v>
      </c>
      <c r="U16" t="e">
        <f ca="1">IF(Gantt!G9="",NA(),IF(IF(Gantt!H9="",IF(TODAY()&gt;Gantt!F9,1,0),IF(Gantt!H9&gt;Gantt!F9,1,0))=1,IF(Gantt!H9="",MAX(TODAY()-Gantt!G9+1,0),Gantt!H9-Gantt!G9+1),NA()))</f>
        <v>#N/A</v>
      </c>
    </row>
    <row r="17" spans="17:21" ht="18" customHeight="1" x14ac:dyDescent="0.3">
      <c r="Q17" t="str">
        <f>Gantt!B10&amp;" (P)"</f>
        <v>Documentación de requisitos (P)</v>
      </c>
      <c r="R17">
        <f>Gantt!D10-FechaInicioProyecto</f>
        <v>19</v>
      </c>
      <c r="S17">
        <f>Gantt!F10-Gantt!D10+1</f>
        <v>16</v>
      </c>
      <c r="T17" t="e">
        <f>NA()</f>
        <v>#N/A</v>
      </c>
      <c r="U17" t="e">
        <f>NA()</f>
        <v>#N/A</v>
      </c>
    </row>
    <row r="18" spans="17:21" ht="18" customHeight="1" x14ac:dyDescent="0.3">
      <c r="Q18" t="str">
        <f>Gantt!B10&amp;" (R)"</f>
        <v>Documentación de requisitos (R)</v>
      </c>
      <c r="R18">
        <f>IF(Gantt!G10="",NA(),Gantt!G10-FechaInicioProyecto)</f>
        <v>19</v>
      </c>
      <c r="S18" t="e">
        <f>NA()</f>
        <v>#N/A</v>
      </c>
      <c r="T18">
        <f ca="1">IF(Gantt!G10="",NA(),IF(IF(Gantt!H10="",IF(TODAY()&gt;Gantt!F10,1,0),IF(Gantt!H10&gt;Gantt!F10,1,0))=1,NA(),IF(Gantt!H10="",MAX(TODAY()-Gantt!G10+1,0),Gantt!H10-Gantt!G10+1)))</f>
        <v>15</v>
      </c>
      <c r="U18" t="e">
        <f ca="1">IF(Gantt!G10="",NA(),IF(IF(Gantt!H10="",IF(TODAY()&gt;Gantt!F10,1,0),IF(Gantt!H10&gt;Gantt!F10,1,0))=1,IF(Gantt!H10="",MAX(TODAY()-Gantt!G10+1,0),Gantt!H10-Gantt!G10+1),NA()))</f>
        <v>#N/A</v>
      </c>
    </row>
    <row r="19" spans="17:21" ht="18" customHeight="1" x14ac:dyDescent="0.3">
      <c r="Q19" t="str">
        <f>Gantt!B11&amp;" (P)"</f>
        <v>Validación y aprobación (P)</v>
      </c>
      <c r="R19">
        <f>Gantt!D11-FechaInicioProyecto</f>
        <v>35</v>
      </c>
      <c r="S19">
        <f>Gantt!F11-Gantt!D11+1</f>
        <v>1</v>
      </c>
      <c r="T19" t="e">
        <f>NA()</f>
        <v>#N/A</v>
      </c>
      <c r="U19" t="e">
        <f>NA()</f>
        <v>#N/A</v>
      </c>
    </row>
    <row r="20" spans="17:21" ht="18" customHeight="1" x14ac:dyDescent="0.3">
      <c r="Q20" t="str">
        <f>Gantt!B11&amp;" (R)"</f>
        <v>Validación y aprobación (R)</v>
      </c>
      <c r="R20">
        <f>IF(Gantt!G11="",NA(),Gantt!G11-FechaInicioProyecto)</f>
        <v>35</v>
      </c>
      <c r="S20" t="e">
        <f>NA()</f>
        <v>#N/A</v>
      </c>
      <c r="T20">
        <f ca="1">IF(Gantt!G11="",NA(),IF(IF(Gantt!H11="",IF(TODAY()&gt;Gantt!F11,1,0),IF(Gantt!H11&gt;Gantt!F11,1,0))=1,NA(),IF(Gantt!H11="",MAX(TODAY()-Gantt!G11+1,0),Gantt!H11-Gantt!G11+1)))</f>
        <v>1</v>
      </c>
      <c r="U20" t="e">
        <f ca="1">IF(Gantt!G11="",NA(),IF(IF(Gantt!H11="",IF(TODAY()&gt;Gantt!F11,1,0),IF(Gantt!H11&gt;Gantt!F11,1,0))=1,IF(Gantt!H11="",MAX(TODAY()-Gantt!G11+1,0),Gantt!H11-Gantt!G11+1),NA()))</f>
        <v>#N/A</v>
      </c>
    </row>
    <row r="21" spans="17:21" ht="18" customHeight="1" x14ac:dyDescent="0.3">
      <c r="Q21" t="str">
        <f>Gantt!B13&amp;" (P)"</f>
        <v>Arquitectura del sistema (P)</v>
      </c>
      <c r="R21">
        <f>Gantt!D13-FechaInicioProyecto</f>
        <v>36</v>
      </c>
      <c r="S21">
        <f>Gantt!F13-Gantt!D13+1</f>
        <v>5</v>
      </c>
      <c r="T21" t="e">
        <f>NA()</f>
        <v>#N/A</v>
      </c>
      <c r="U21" t="e">
        <f>NA()</f>
        <v>#N/A</v>
      </c>
    </row>
    <row r="22" spans="17:21" ht="18" customHeight="1" x14ac:dyDescent="0.3">
      <c r="Q22" t="str">
        <f>Gantt!B13&amp;" (R)"</f>
        <v>Arquitectura del sistema (R)</v>
      </c>
      <c r="R22">
        <f>IF(Gantt!G13="",NA(),Gantt!G13-FechaInicioProyecto)</f>
        <v>41</v>
      </c>
      <c r="S22" t="e">
        <f>NA()</f>
        <v>#N/A</v>
      </c>
      <c r="T22" t="e">
        <f ca="1">IF(Gantt!G13="",NA(),IF(IF(Gantt!H13="",IF(TODAY()&gt;Gantt!F13,1,0),IF(Gantt!H13&gt;Gantt!F13,1,0))=1,NA(),IF(Gantt!H13="",MAX(TODAY()-Gantt!G13+1,0),Gantt!H13-Gantt!G13+1)))</f>
        <v>#N/A</v>
      </c>
      <c r="U22">
        <f ca="1">IF(Gantt!G13="",NA(),IF(IF(Gantt!H13="",IF(TODAY()&gt;Gantt!F13,1,0),IF(Gantt!H13&gt;Gantt!F13,1,0))=1,IF(Gantt!H13="",MAX(TODAY()-Gantt!G13+1,0),Gantt!H13-Gantt!G13+1),NA()))</f>
        <v>2</v>
      </c>
    </row>
    <row r="23" spans="17:21" ht="18" customHeight="1" x14ac:dyDescent="0.3">
      <c r="Q23" t="str">
        <f>Gantt!B14&amp;" (P)"</f>
        <v>Diseño de base de datos (P)</v>
      </c>
      <c r="R23">
        <f>Gantt!D14-FechaInicioProyecto</f>
        <v>41</v>
      </c>
      <c r="S23">
        <f>Gantt!F14-Gantt!D14+1</f>
        <v>2</v>
      </c>
      <c r="T23" t="e">
        <f>NA()</f>
        <v>#N/A</v>
      </c>
      <c r="U23" t="e">
        <f>NA()</f>
        <v>#N/A</v>
      </c>
    </row>
    <row r="24" spans="17:21" ht="18" customHeight="1" x14ac:dyDescent="0.3">
      <c r="Q24" t="str">
        <f>Gantt!B14&amp;" (R)"</f>
        <v>Diseño de base de datos (R)</v>
      </c>
      <c r="R24">
        <f>IF(Gantt!G14="",NA(),Gantt!G14-FechaInicioProyecto)</f>
        <v>42</v>
      </c>
      <c r="S24" t="e">
        <f>NA()</f>
        <v>#N/A</v>
      </c>
      <c r="T24" t="e">
        <f ca="1">IF(Gantt!G14="",NA(),IF(IF(Gantt!H14="",IF(TODAY()&gt;Gantt!F14,1,0),IF(Gantt!H14&gt;Gantt!F14,1,0))=1,NA(),IF(Gantt!H14="",MAX(TODAY()-Gantt!G14+1,0),Gantt!H14-Gantt!G14+1)))</f>
        <v>#N/A</v>
      </c>
      <c r="U24">
        <f ca="1">IF(Gantt!G14="",NA(),IF(IF(Gantt!H14="",IF(TODAY()&gt;Gantt!F14,1,0),IF(Gantt!H14&gt;Gantt!F14,1,0))=1,IF(Gantt!H14="",MAX(TODAY()-Gantt!G14+1,0),Gantt!H14-Gantt!G14+1),NA()))</f>
        <v>2</v>
      </c>
    </row>
    <row r="25" spans="17:21" ht="18" customHeight="1" x14ac:dyDescent="0.3">
      <c r="Q25" t="str">
        <f>Gantt!B15&amp;" (P)"</f>
        <v>Diseño UX/UI (P)</v>
      </c>
      <c r="R25">
        <f>Gantt!D15-FechaInicioProyecto</f>
        <v>43</v>
      </c>
      <c r="S25">
        <f>Gantt!F15-Gantt!D15+1</f>
        <v>6</v>
      </c>
      <c r="T25" t="e">
        <f>NA()</f>
        <v>#N/A</v>
      </c>
      <c r="U25" t="e">
        <f>NA()</f>
        <v>#N/A</v>
      </c>
    </row>
    <row r="26" spans="17:21" ht="18" customHeight="1" x14ac:dyDescent="0.3">
      <c r="Q26" t="str">
        <f>Gantt!B15&amp;" (R)"</f>
        <v>Diseño UX/UI (R)</v>
      </c>
      <c r="R26">
        <f>IF(Gantt!G15="",NA(),Gantt!G15-FechaInicioProyecto)</f>
        <v>42</v>
      </c>
      <c r="S26" t="e">
        <f>NA()</f>
        <v>#N/A</v>
      </c>
      <c r="T26">
        <f ca="1">IF(Gantt!G15="",NA(),IF(IF(Gantt!H15="",IF(TODAY()&gt;Gantt!F15,1,0),IF(Gantt!H15&gt;Gantt!F15,1,0))=1,NA(),IF(Gantt!H15="",MAX(TODAY()-Gantt!G15+1,0),Gantt!H15-Gantt!G15+1)))</f>
        <v>2</v>
      </c>
      <c r="U26" t="e">
        <f ca="1">IF(Gantt!G15="",NA(),IF(IF(Gantt!H15="",IF(TODAY()&gt;Gantt!F15,1,0),IF(Gantt!H15&gt;Gantt!F15,1,0))=1,IF(Gantt!H15="",MAX(TODAY()-Gantt!G15+1,0),Gantt!H15-Gantt!G15+1),NA()))</f>
        <v>#N/A</v>
      </c>
    </row>
    <row r="27" spans="17:21" ht="18" customHeight="1" x14ac:dyDescent="0.3">
      <c r="Q27" t="str">
        <f>Gantt!B16&amp;" (P)"</f>
        <v>Revisión y aprobación (P)</v>
      </c>
      <c r="R27">
        <f>Gantt!D16-FechaInicioProyecto</f>
        <v>49</v>
      </c>
      <c r="S27">
        <f>Gantt!F16-Gantt!D16+1</f>
        <v>1</v>
      </c>
      <c r="T27" t="e">
        <f>NA()</f>
        <v>#N/A</v>
      </c>
      <c r="U27" t="e">
        <f>NA()</f>
        <v>#N/A</v>
      </c>
    </row>
    <row r="28" spans="17:21" ht="18" customHeight="1" x14ac:dyDescent="0.3">
      <c r="Q28" t="str">
        <f>Gantt!B16&amp;" (R)"</f>
        <v>Revisión y aprobación (R)</v>
      </c>
      <c r="R28" t="e">
        <f>IF(Gantt!G16="",NA(),Gantt!G16-FechaInicioProyecto)</f>
        <v>#N/A</v>
      </c>
      <c r="S28" t="e">
        <f>NA()</f>
        <v>#N/A</v>
      </c>
      <c r="T28" t="e">
        <f ca="1">IF(Gantt!G16="",NA(),IF(IF(Gantt!H16="",IF(TODAY()&gt;Gantt!F16,1,0),IF(Gantt!H16&gt;Gantt!F16,1,0))=1,NA(),IF(Gantt!H16="",MAX(TODAY()-Gantt!G16+1,0),Gantt!H16-Gantt!G16+1)))</f>
        <v>#N/A</v>
      </c>
      <c r="U28" t="e">
        <f ca="1">IF(Gantt!G16="",NA(),IF(IF(Gantt!H16="",IF(TODAY()&gt;Gantt!F16,1,0),IF(Gantt!H16&gt;Gantt!F16,1,0))=1,IF(Gantt!H16="",MAX(TODAY()-Gantt!G16+1,0),Gantt!H16-Gantt!G16+1),NA()))</f>
        <v>#N/A</v>
      </c>
    </row>
    <row r="29" spans="17:21" ht="18" customHeight="1" x14ac:dyDescent="0.3">
      <c r="Q29" t="str">
        <f>Gantt!B18&amp;" (P)"</f>
        <v>Configuración de entorno (P)</v>
      </c>
      <c r="R29">
        <f>Gantt!D18-FechaInicioProyecto</f>
        <v>50</v>
      </c>
      <c r="S29">
        <f>Gantt!F18-Gantt!D18+1</f>
        <v>2</v>
      </c>
      <c r="T29" t="e">
        <f>NA()</f>
        <v>#N/A</v>
      </c>
      <c r="U29" t="e">
        <f>NA()</f>
        <v>#N/A</v>
      </c>
    </row>
    <row r="30" spans="17:21" ht="18" customHeight="1" x14ac:dyDescent="0.3">
      <c r="Q30" t="str">
        <f>Gantt!B18&amp;" (R)"</f>
        <v>Configuración de entorno (R)</v>
      </c>
      <c r="R30">
        <f>IF(Gantt!G18="",NA(),Gantt!G18-FechaInicioProyecto)</f>
        <v>40</v>
      </c>
      <c r="S30" t="e">
        <f>NA()</f>
        <v>#N/A</v>
      </c>
      <c r="T30">
        <f ca="1">IF(Gantt!G18="",NA(),IF(IF(Gantt!H18="",IF(TODAY()&gt;Gantt!F18,1,0),IF(Gantt!H18&gt;Gantt!F18,1,0))=1,NA(),IF(Gantt!H18="",MAX(TODAY()-Gantt!G18+1,0),Gantt!H18-Gantt!G18+1)))</f>
        <v>4</v>
      </c>
      <c r="U30" t="e">
        <f ca="1">IF(Gantt!G18="",NA(),IF(IF(Gantt!H18="",IF(TODAY()&gt;Gantt!F18,1,0),IF(Gantt!H18&gt;Gantt!F18,1,0))=1,IF(Gantt!H18="",MAX(TODAY()-Gantt!G18+1,0),Gantt!H18-Gantt!G18+1),NA()))</f>
        <v>#N/A</v>
      </c>
    </row>
    <row r="31" spans="17:21" ht="18" customHeight="1" x14ac:dyDescent="0.3">
      <c r="Q31" t="str">
        <f>Gantt!B19&amp;" (P)"</f>
        <v>Módulo de autenticación (P)</v>
      </c>
      <c r="R31">
        <f>Gantt!D19-FechaInicioProyecto</f>
        <v>54</v>
      </c>
      <c r="S31">
        <f>Gantt!F19-Gantt!D19+1</f>
        <v>1</v>
      </c>
      <c r="T31" t="e">
        <f>NA()</f>
        <v>#N/A</v>
      </c>
      <c r="U31" t="e">
        <f>NA()</f>
        <v>#N/A</v>
      </c>
    </row>
    <row r="32" spans="17:21" ht="18" customHeight="1" x14ac:dyDescent="0.3">
      <c r="Q32" t="str">
        <f>Gantt!B19&amp;" (R)"</f>
        <v>Módulo de autenticación (R)</v>
      </c>
      <c r="R32">
        <f>IF(Gantt!G19="",NA(),Gantt!G19-FechaInicioProyecto)</f>
        <v>41</v>
      </c>
      <c r="S32" t="e">
        <f>NA()</f>
        <v>#N/A</v>
      </c>
      <c r="T32" t="e">
        <f ca="1">IF(Gantt!G19="",NA(),IF(IF(Gantt!H19="",IF(TODAY()&gt;Gantt!F19,1,0),IF(Gantt!H19&gt;Gantt!F19,1,0))=1,NA(),IF(Gantt!H19="",MAX(TODAY()-Gantt!G19+1,0),Gantt!H19-Gantt!G19+1)))</f>
        <v>#N/A</v>
      </c>
      <c r="U32">
        <f ca="1">IF(Gantt!G19="",NA(),IF(IF(Gantt!H19="",IF(TODAY()&gt;Gantt!F19,1,0),IF(Gantt!H19&gt;Gantt!F19,1,0))=1,IF(Gantt!H19="",MAX(TODAY()-Gantt!G19+1,0),Gantt!H19-Gantt!G19+1),NA()))</f>
        <v>35</v>
      </c>
    </row>
    <row r="33" spans="17:21" ht="18" customHeight="1" x14ac:dyDescent="0.3">
      <c r="Q33" t="str">
        <f>Gantt!B20&amp;" (P)"</f>
        <v>Módulos funcionales core (P)</v>
      </c>
      <c r="R33">
        <f>Gantt!D20-FechaInicioProyecto</f>
        <v>55</v>
      </c>
      <c r="S33">
        <f>Gantt!F20-Gantt!D20+1</f>
        <v>21</v>
      </c>
      <c r="T33" t="e">
        <f>NA()</f>
        <v>#N/A</v>
      </c>
      <c r="U33" t="e">
        <f>NA()</f>
        <v>#N/A</v>
      </c>
    </row>
    <row r="34" spans="17:21" ht="18" customHeight="1" x14ac:dyDescent="0.3">
      <c r="Q34" t="str">
        <f>Gantt!B20&amp;" (R)"</f>
        <v>Módulos funcionales core (R)</v>
      </c>
      <c r="R34">
        <f>IF(Gantt!G20="",NA(),Gantt!G20-FechaInicioProyecto)</f>
        <v>19</v>
      </c>
      <c r="S34" t="e">
        <f>NA()</f>
        <v>#N/A</v>
      </c>
      <c r="T34">
        <f ca="1">IF(Gantt!G20="",NA(),IF(IF(Gantt!H20="",IF(TODAY()&gt;Gantt!F20,1,0),IF(Gantt!H20&gt;Gantt!F20,1,0))=1,NA(),IF(Gantt!H20="",MAX(TODAY()-Gantt!G20+1,0),Gantt!H20-Gantt!G20+1)))</f>
        <v>57</v>
      </c>
      <c r="U34" t="e">
        <f ca="1">IF(Gantt!G20="",NA(),IF(IF(Gantt!H20="",IF(TODAY()&gt;Gantt!F20,1,0),IF(Gantt!H20&gt;Gantt!F20,1,0))=1,IF(Gantt!H20="",MAX(TODAY()-Gantt!G20+1,0),Gantt!H20-Gantt!G20+1),NA()))</f>
        <v>#N/A</v>
      </c>
    </row>
    <row r="35" spans="17:21" ht="18" customHeight="1" x14ac:dyDescent="0.3">
      <c r="Q35" t="str">
        <f>Gantt!B21&amp;" (P)"</f>
        <v>Integraciones / APIs (P)</v>
      </c>
      <c r="R35">
        <f>Gantt!D21-FechaInicioProyecto</f>
        <v>76</v>
      </c>
      <c r="S35">
        <f>Gantt!F21-Gantt!D21+1</f>
        <v>15</v>
      </c>
      <c r="T35" t="e">
        <f>NA()</f>
        <v>#N/A</v>
      </c>
      <c r="U35" t="e">
        <f>NA()</f>
        <v>#N/A</v>
      </c>
    </row>
    <row r="36" spans="17:21" ht="18" customHeight="1" x14ac:dyDescent="0.3">
      <c r="Q36" t="str">
        <f>Gantt!B21&amp;" (R)"</f>
        <v>Integraciones / APIs (R)</v>
      </c>
      <c r="R36">
        <f>IF(Gantt!G21="",NA(),Gantt!G21-FechaInicioProyecto)</f>
        <v>0</v>
      </c>
      <c r="S36" t="e">
        <f>NA()</f>
        <v>#N/A</v>
      </c>
      <c r="T36">
        <f ca="1">IF(Gantt!G21="",NA(),IF(IF(Gantt!H21="",IF(TODAY()&gt;Gantt!F21,1,0),IF(Gantt!H21&gt;Gantt!F21,1,0))=1,NA(),IF(Gantt!H21="",MAX(TODAY()-Gantt!G21+1,0),Gantt!H21-Gantt!G21+1)))</f>
        <v>76</v>
      </c>
      <c r="U36" t="e">
        <f ca="1">IF(Gantt!G21="",NA(),IF(IF(Gantt!H21="",IF(TODAY()&gt;Gantt!F21,1,0),IF(Gantt!H21&gt;Gantt!F21,1,0))=1,IF(Gantt!H21="",MAX(TODAY()-Gantt!G21+1,0),Gantt!H21-Gantt!G21+1),NA()))</f>
        <v>#N/A</v>
      </c>
    </row>
    <row r="37" spans="17:21" ht="18" customHeight="1" x14ac:dyDescent="0.3">
      <c r="Q37" t="str">
        <f>Gantt!B22&amp;" (P)"</f>
        <v>Frontend y UI (P)</v>
      </c>
      <c r="R37">
        <f>Gantt!D22-FechaInicioProyecto</f>
        <v>91</v>
      </c>
      <c r="S37">
        <f>Gantt!F22-Gantt!D22+1</f>
        <v>13</v>
      </c>
      <c r="T37" t="e">
        <f>NA()</f>
        <v>#N/A</v>
      </c>
      <c r="U37" t="e">
        <f>NA()</f>
        <v>#N/A</v>
      </c>
    </row>
    <row r="38" spans="17:21" ht="18" customHeight="1" x14ac:dyDescent="0.3">
      <c r="Q38" t="str">
        <f>Gantt!B22&amp;" (R)"</f>
        <v>Frontend y UI (R)</v>
      </c>
      <c r="R38">
        <f>IF(Gantt!G22="",NA(),Gantt!G22-FechaInicioProyecto)</f>
        <v>12</v>
      </c>
      <c r="S38" t="e">
        <f>NA()</f>
        <v>#N/A</v>
      </c>
      <c r="T38">
        <f ca="1">IF(Gantt!G22="",NA(),IF(IF(Gantt!H22="",IF(TODAY()&gt;Gantt!F22,1,0),IF(Gantt!H22&gt;Gantt!F22,1,0))=1,NA(),IF(Gantt!H22="",MAX(TODAY()-Gantt!G22+1,0),Gantt!H22-Gantt!G22+1)))</f>
        <v>64</v>
      </c>
      <c r="U38" t="e">
        <f ca="1">IF(Gantt!G22="",NA(),IF(IF(Gantt!H22="",IF(TODAY()&gt;Gantt!F22,1,0),IF(Gantt!H22&gt;Gantt!F22,1,0))=1,IF(Gantt!H22="",MAX(TODAY()-Gantt!G22+1,0),Gantt!H22-Gantt!G22+1),NA()))</f>
        <v>#N/A</v>
      </c>
    </row>
    <row r="39" spans="17:21" ht="18" customHeight="1" x14ac:dyDescent="0.3">
      <c r="Q39" t="str">
        <f>Gantt!B24&amp;" (P)"</f>
        <v>Pruebas unitarias (P)</v>
      </c>
      <c r="R39">
        <f>Gantt!D24-FechaInicioProyecto</f>
        <v>104</v>
      </c>
      <c r="S39">
        <f>Gantt!F24-Gantt!D24+1</f>
        <v>1</v>
      </c>
      <c r="T39" t="e">
        <f>NA()</f>
        <v>#N/A</v>
      </c>
      <c r="U39" t="e">
        <f>NA()</f>
        <v>#N/A</v>
      </c>
    </row>
    <row r="40" spans="17:21" ht="18" customHeight="1" x14ac:dyDescent="0.3">
      <c r="Q40" t="str">
        <f>Gantt!B24&amp;" (R)"</f>
        <v>Pruebas unitarias (R)</v>
      </c>
      <c r="R40" t="e">
        <f>IF(Gantt!G24="",NA(),Gantt!G24-FechaInicioProyecto)</f>
        <v>#N/A</v>
      </c>
      <c r="S40" t="e">
        <f>NA()</f>
        <v>#N/A</v>
      </c>
      <c r="T40" t="e">
        <f ca="1">IF(Gantt!G24="",NA(),IF(IF(Gantt!H24="",IF(TODAY()&gt;Gantt!F24,1,0),IF(Gantt!H24&gt;Gantt!F24,1,0))=1,NA(),IF(Gantt!H24="",MAX(TODAY()-Gantt!G24+1,0),Gantt!H24-Gantt!G24+1)))</f>
        <v>#N/A</v>
      </c>
      <c r="U40" t="e">
        <f ca="1">IF(Gantt!G24="",NA(),IF(IF(Gantt!H24="",IF(TODAY()&gt;Gantt!F24,1,0),IF(Gantt!H24&gt;Gantt!F24,1,0))=1,IF(Gantt!H24="",MAX(TODAY()-Gantt!G24+1,0),Gantt!H24-Gantt!G24+1),NA()))</f>
        <v>#N/A</v>
      </c>
    </row>
    <row r="41" spans="17:21" ht="18" customHeight="1" x14ac:dyDescent="0.3">
      <c r="Q41" t="str">
        <f>Gantt!B25&amp;" (P)"</f>
        <v>Pruebas de integración (P)</v>
      </c>
      <c r="R41">
        <f>Gantt!D25-FechaInicioProyecto</f>
        <v>105</v>
      </c>
      <c r="S41">
        <f>Gantt!F25-Gantt!D25+1</f>
        <v>2</v>
      </c>
      <c r="T41" t="e">
        <f>NA()</f>
        <v>#N/A</v>
      </c>
      <c r="U41" t="e">
        <f>NA()</f>
        <v>#N/A</v>
      </c>
    </row>
    <row r="42" spans="17:21" ht="18" customHeight="1" x14ac:dyDescent="0.3">
      <c r="Q42" t="str">
        <f>Gantt!B25&amp;" (R)"</f>
        <v>Pruebas de integración (R)</v>
      </c>
      <c r="R42" t="e">
        <f>IF(Gantt!G25="",NA(),Gantt!G25-FechaInicioProyecto)</f>
        <v>#N/A</v>
      </c>
      <c r="S42" t="e">
        <f>NA()</f>
        <v>#N/A</v>
      </c>
      <c r="T42" t="e">
        <f ca="1">IF(Gantt!G25="",NA(),IF(IF(Gantt!H25="",IF(TODAY()&gt;Gantt!F25,1,0),IF(Gantt!H25&gt;Gantt!F25,1,0))=1,NA(),IF(Gantt!H25="",MAX(TODAY()-Gantt!G25+1,0),Gantt!H25-Gantt!G25+1)))</f>
        <v>#N/A</v>
      </c>
      <c r="U42" t="e">
        <f ca="1">IF(Gantt!G25="",NA(),IF(IF(Gantt!H25="",IF(TODAY()&gt;Gantt!F25,1,0),IF(Gantt!H25&gt;Gantt!F25,1,0))=1,IF(Gantt!H25="",MAX(TODAY()-Gantt!G25+1,0),Gantt!H25-Gantt!G25+1),NA()))</f>
        <v>#N/A</v>
      </c>
    </row>
    <row r="43" spans="17:21" ht="18" customHeight="1" x14ac:dyDescent="0.3">
      <c r="Q43" t="str">
        <f>Gantt!B26&amp;" (P)"</f>
        <v>Pruebas de usuario (UAT) (P)</v>
      </c>
      <c r="R43">
        <f>Gantt!D26-FechaInicioProyecto</f>
        <v>107</v>
      </c>
      <c r="S43">
        <f>Gantt!F26-Gantt!D26+1</f>
        <v>4</v>
      </c>
      <c r="T43" t="e">
        <f>NA()</f>
        <v>#N/A</v>
      </c>
      <c r="U43" t="e">
        <f>NA()</f>
        <v>#N/A</v>
      </c>
    </row>
    <row r="44" spans="17:21" ht="18" customHeight="1" x14ac:dyDescent="0.3">
      <c r="Q44" t="str">
        <f>Gantt!B26&amp;" (R)"</f>
        <v>Pruebas de usuario (UAT) (R)</v>
      </c>
      <c r="R44" t="e">
        <f>IF(Gantt!G26="",NA(),Gantt!G26-FechaInicioProyecto)</f>
        <v>#N/A</v>
      </c>
      <c r="S44" t="e">
        <f>NA()</f>
        <v>#N/A</v>
      </c>
      <c r="T44" t="e">
        <f ca="1">IF(Gantt!G26="",NA(),IF(IF(Gantt!H26="",IF(TODAY()&gt;Gantt!F26,1,0),IF(Gantt!H26&gt;Gantt!F26,1,0))=1,NA(),IF(Gantt!H26="",MAX(TODAY()-Gantt!G26+1,0),Gantt!H26-Gantt!G26+1)))</f>
        <v>#N/A</v>
      </c>
      <c r="U44" t="e">
        <f ca="1">IF(Gantt!G26="",NA(),IF(IF(Gantt!H26="",IF(TODAY()&gt;Gantt!F26,1,0),IF(Gantt!H26&gt;Gantt!F26,1,0))=1,IF(Gantt!H26="",MAX(TODAY()-Gantt!G26+1,0),Gantt!H26-Gantt!G26+1),NA()))</f>
        <v>#N/A</v>
      </c>
    </row>
    <row r="45" spans="17:21" ht="18" customHeight="1" x14ac:dyDescent="0.3">
      <c r="Q45" t="str">
        <f>Gantt!B27&amp;" (P)"</f>
        <v>Pruebas de ciberseguridad (P)</v>
      </c>
      <c r="R45">
        <f>Gantt!D27-FechaInicioProyecto</f>
        <v>111</v>
      </c>
      <c r="S45">
        <f>Gantt!F27-Gantt!D27+1</f>
        <v>2</v>
      </c>
      <c r="T45" t="e">
        <f>NA()</f>
        <v>#N/A</v>
      </c>
      <c r="U45" t="e">
        <f>NA()</f>
        <v>#N/A</v>
      </c>
    </row>
    <row r="46" spans="17:21" ht="18" customHeight="1" x14ac:dyDescent="0.3">
      <c r="Q46" t="str">
        <f>Gantt!B27&amp;" (R)"</f>
        <v>Pruebas de ciberseguridad (R)</v>
      </c>
      <c r="R46" t="e">
        <f>IF(Gantt!G27="",NA(),Gantt!G27-FechaInicioProyecto)</f>
        <v>#N/A</v>
      </c>
      <c r="S46" t="e">
        <f>NA()</f>
        <v>#N/A</v>
      </c>
      <c r="T46" t="e">
        <f ca="1">IF(Gantt!G27="",NA(),IF(IF(Gantt!H27="",IF(TODAY()&gt;Gantt!F27,1,0),IF(Gantt!H27&gt;Gantt!F27,1,0))=1,NA(),IF(Gantt!H27="",MAX(TODAY()-Gantt!G27+1,0),Gantt!H27-Gantt!G27+1)))</f>
        <v>#N/A</v>
      </c>
      <c r="U46" t="e">
        <f ca="1">IF(Gantt!G27="",NA(),IF(IF(Gantt!H27="",IF(TODAY()&gt;Gantt!F27,1,0),IF(Gantt!H27&gt;Gantt!F27,1,0))=1,IF(Gantt!H27="",MAX(TODAY()-Gantt!G27+1,0),Gantt!H27-Gantt!G27+1),NA()))</f>
        <v>#N/A</v>
      </c>
    </row>
    <row r="47" spans="17:21" ht="18" customHeight="1" x14ac:dyDescent="0.3">
      <c r="Q47" t="str">
        <f>Gantt!B28&amp;" (P)"</f>
        <v>Corrección de bugs (P)</v>
      </c>
      <c r="R47">
        <f>Gantt!D28-FechaInicioProyecto</f>
        <v>113</v>
      </c>
      <c r="S47">
        <f>Gantt!F28-Gantt!D28+1</f>
        <v>5</v>
      </c>
      <c r="T47" t="e">
        <f>NA()</f>
        <v>#N/A</v>
      </c>
      <c r="U47" t="e">
        <f>NA()</f>
        <v>#N/A</v>
      </c>
    </row>
    <row r="48" spans="17:21" ht="18" customHeight="1" x14ac:dyDescent="0.3">
      <c r="Q48" t="str">
        <f>Gantt!B28&amp;" (R)"</f>
        <v>Corrección de bugs (R)</v>
      </c>
      <c r="R48" t="e">
        <f>IF(Gantt!G28="",NA(),Gantt!G28-FechaInicioProyecto)</f>
        <v>#N/A</v>
      </c>
      <c r="S48" t="e">
        <f>NA()</f>
        <v>#N/A</v>
      </c>
      <c r="T48" t="e">
        <f ca="1">IF(Gantt!G28="",NA(),IF(IF(Gantt!H28="",IF(TODAY()&gt;Gantt!F28,1,0),IF(Gantt!H28&gt;Gantt!F28,1,0))=1,NA(),IF(Gantt!H28="",MAX(TODAY()-Gantt!G28+1,0),Gantt!H28-Gantt!G28+1)))</f>
        <v>#N/A</v>
      </c>
      <c r="U48" t="e">
        <f ca="1">IF(Gantt!G28="",NA(),IF(IF(Gantt!H28="",IF(TODAY()&gt;Gantt!F28,1,0),IF(Gantt!H28&gt;Gantt!F28,1,0))=1,IF(Gantt!H28="",MAX(TODAY()-Gantt!G28+1,0),Gantt!H28-Gantt!G28+1),NA()))</f>
        <v>#N/A</v>
      </c>
    </row>
    <row r="49" spans="17:21" ht="18" customHeight="1" x14ac:dyDescent="0.3">
      <c r="Q49" t="str">
        <f>Gantt!B30&amp;" (P)"</f>
        <v>Preparación de entorno prod. (P)</v>
      </c>
      <c r="R49">
        <f>Gantt!D30-FechaInicioProyecto</f>
        <v>118</v>
      </c>
      <c r="S49">
        <f>Gantt!F30-Gantt!D30+1</f>
        <v>1</v>
      </c>
      <c r="T49" t="e">
        <f>NA()</f>
        <v>#N/A</v>
      </c>
      <c r="U49" t="e">
        <f>NA()</f>
        <v>#N/A</v>
      </c>
    </row>
    <row r="50" spans="17:21" ht="18" customHeight="1" x14ac:dyDescent="0.3">
      <c r="Q50" t="str">
        <f>Gantt!B30&amp;" (R)"</f>
        <v>Preparación de entorno prod. (R)</v>
      </c>
      <c r="R50" t="e">
        <f>IF(Gantt!G30="",NA(),Gantt!G30-FechaInicioProyecto)</f>
        <v>#N/A</v>
      </c>
      <c r="S50" t="e">
        <f>NA()</f>
        <v>#N/A</v>
      </c>
      <c r="T50" t="e">
        <f ca="1">IF(Gantt!G30="",NA(),IF(IF(Gantt!H30="",IF(TODAY()&gt;Gantt!F30,1,0),IF(Gantt!H30&gt;Gantt!F30,1,0))=1,NA(),IF(Gantt!H30="",MAX(TODAY()-Gantt!G30+1,0),Gantt!H30-Gantt!G30+1)))</f>
        <v>#N/A</v>
      </c>
      <c r="U50" t="e">
        <f ca="1">IF(Gantt!G30="",NA(),IF(IF(Gantt!H30="",IF(TODAY()&gt;Gantt!F30,1,0),IF(Gantt!H30&gt;Gantt!F30,1,0))=1,IF(Gantt!H30="",MAX(TODAY()-Gantt!G30+1,0),Gantt!H30-Gantt!G30+1),NA()))</f>
        <v>#N/A</v>
      </c>
    </row>
    <row r="51" spans="17:21" ht="18" customHeight="1" x14ac:dyDescent="0.3">
      <c r="Q51" t="str">
        <f>Gantt!B31&amp;" (P)"</f>
        <v>Pase a producción (P)</v>
      </c>
      <c r="R51">
        <f>Gantt!D31-FechaInicioProyecto</f>
        <v>119</v>
      </c>
      <c r="S51">
        <f>Gantt!F31-Gantt!D31+1</f>
        <v>1</v>
      </c>
      <c r="T51" t="e">
        <f>NA()</f>
        <v>#N/A</v>
      </c>
      <c r="U51" t="e">
        <f>NA()</f>
        <v>#N/A</v>
      </c>
    </row>
    <row r="52" spans="17:21" ht="18" customHeight="1" x14ac:dyDescent="0.3">
      <c r="Q52" t="str">
        <f>Gantt!B31&amp;" (R)"</f>
        <v>Pase a producción (R)</v>
      </c>
      <c r="R52" t="e">
        <f>IF(Gantt!G31="",NA(),Gantt!G31-FechaInicioProyecto)</f>
        <v>#N/A</v>
      </c>
      <c r="S52" t="e">
        <f>NA()</f>
        <v>#N/A</v>
      </c>
      <c r="T52" t="e">
        <f ca="1">IF(Gantt!G31="",NA(),IF(IF(Gantt!H31="",IF(TODAY()&gt;Gantt!F31,1,0),IF(Gantt!H31&gt;Gantt!F31,1,0))=1,NA(),IF(Gantt!H31="",MAX(TODAY()-Gantt!G31+1,0),Gantt!H31-Gantt!G31+1)))</f>
        <v>#N/A</v>
      </c>
      <c r="U52" t="e">
        <f ca="1">IF(Gantt!G31="",NA(),IF(IF(Gantt!H31="",IF(TODAY()&gt;Gantt!F31,1,0),IF(Gantt!H31&gt;Gantt!F31,1,0))=1,IF(Gantt!H31="",MAX(TODAY()-Gantt!G31+1,0),Gantt!H31-Gantt!G31+1),NA()))</f>
        <v>#N/A</v>
      </c>
    </row>
    <row r="53" spans="17:21" ht="18" customHeight="1" x14ac:dyDescent="0.3">
      <c r="Q53" t="str">
        <f>Gantt!B32&amp;" (P)"</f>
        <v>Capacitación a usuarios (P)</v>
      </c>
      <c r="R53">
        <f>Gantt!D32-FechaInicioProyecto</f>
        <v>120</v>
      </c>
      <c r="S53">
        <f>Gantt!F32-Gantt!D32+1</f>
        <v>1</v>
      </c>
      <c r="T53" t="e">
        <f>NA()</f>
        <v>#N/A</v>
      </c>
      <c r="U53" t="e">
        <f>NA()</f>
        <v>#N/A</v>
      </c>
    </row>
    <row r="54" spans="17:21" ht="18" customHeight="1" x14ac:dyDescent="0.3">
      <c r="Q54" t="str">
        <f>Gantt!B32&amp;" (R)"</f>
        <v>Capacitación a usuarios (R)</v>
      </c>
      <c r="R54" t="e">
        <f>IF(Gantt!G32="",NA(),Gantt!G32-FechaInicioProyecto)</f>
        <v>#N/A</v>
      </c>
      <c r="S54" t="e">
        <f>NA()</f>
        <v>#N/A</v>
      </c>
      <c r="T54" t="e">
        <f ca="1">IF(Gantt!G32="",NA(),IF(IF(Gantt!H32="",IF(TODAY()&gt;Gantt!F32,1,0),IF(Gantt!H32&gt;Gantt!F32,1,0))=1,NA(),IF(Gantt!H32="",MAX(TODAY()-Gantt!G32+1,0),Gantt!H32-Gantt!G32+1)))</f>
        <v>#N/A</v>
      </c>
      <c r="U54" t="e">
        <f ca="1">IF(Gantt!G32="",NA(),IF(IF(Gantt!H32="",IF(TODAY()&gt;Gantt!F32,1,0),IF(Gantt!H32&gt;Gantt!F32,1,0))=1,IF(Gantt!H32="",MAX(TODAY()-Gantt!G32+1,0),Gantt!H32-Gantt!G32+1),NA()))</f>
        <v>#N/A</v>
      </c>
    </row>
    <row r="55" spans="17:21" ht="18" customHeight="1" x14ac:dyDescent="0.3"/>
    <row r="56" spans="17:21" ht="18" customHeight="1" x14ac:dyDescent="0.3"/>
    <row r="57" spans="17:21" ht="18" customHeight="1" x14ac:dyDescent="0.3"/>
    <row r="58" spans="17:21" ht="18" customHeight="1" x14ac:dyDescent="0.3"/>
    <row r="59" spans="17:21" ht="18" customHeight="1" x14ac:dyDescent="0.3"/>
    <row r="60" spans="17:21" ht="18" customHeight="1" x14ac:dyDescent="0.3"/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topLeftCell="A11" workbookViewId="0">
      <selection activeCell="A26" sqref="A26:C26"/>
    </sheetView>
  </sheetViews>
  <sheetFormatPr baseColWidth="10" defaultColWidth="8.88671875" defaultRowHeight="14.4" x14ac:dyDescent="0.3"/>
  <cols>
    <col min="1" max="1" width="22" customWidth="1"/>
    <col min="2" max="2" width="32" customWidth="1"/>
    <col min="3" max="3" width="18" customWidth="1"/>
    <col min="4" max="5" width="10" customWidth="1"/>
    <col min="6" max="6" width="12" customWidth="1"/>
  </cols>
  <sheetData>
    <row r="1" spans="1:6" ht="22.2" customHeight="1" x14ac:dyDescent="0.3">
      <c r="A1" s="144" t="s">
        <v>190</v>
      </c>
      <c r="B1" s="145"/>
      <c r="C1" s="145"/>
      <c r="D1" s="145"/>
      <c r="E1" s="145"/>
      <c r="F1" s="145"/>
    </row>
    <row r="2" spans="1:6" x14ac:dyDescent="0.3">
      <c r="A2" s="3" t="s">
        <v>39</v>
      </c>
      <c r="B2" s="3" t="s">
        <v>40</v>
      </c>
      <c r="C2" s="3" t="s">
        <v>41</v>
      </c>
      <c r="D2" s="3" t="s">
        <v>191</v>
      </c>
      <c r="E2" s="3" t="s">
        <v>48</v>
      </c>
      <c r="F2" s="3" t="s">
        <v>192</v>
      </c>
    </row>
    <row r="3" spans="1:6" ht="16.2" customHeight="1" x14ac:dyDescent="0.3">
      <c r="A3" s="10" t="s">
        <v>51</v>
      </c>
      <c r="B3" s="11" t="s">
        <v>52</v>
      </c>
      <c r="C3" s="12" t="s">
        <v>53</v>
      </c>
      <c r="D3" s="13">
        <v>2</v>
      </c>
      <c r="E3" s="4">
        <f t="shared" ref="E3:E25" si="0">D3/$D$26</f>
        <v>2.0833333333333332E-2</v>
      </c>
      <c r="F3" s="14">
        <f>E3</f>
        <v>2.0833333333333332E-2</v>
      </c>
    </row>
    <row r="4" spans="1:6" ht="16.2" customHeight="1" x14ac:dyDescent="0.3">
      <c r="A4" s="15"/>
      <c r="B4" s="15" t="s">
        <v>55</v>
      </c>
      <c r="C4" s="16" t="s">
        <v>56</v>
      </c>
      <c r="D4" s="17">
        <v>2</v>
      </c>
      <c r="E4" s="18">
        <f t="shared" si="0"/>
        <v>2.0833333333333332E-2</v>
      </c>
      <c r="F4" s="19">
        <f t="shared" ref="F4:F25" si="1">F3+E4</f>
        <v>4.1666666666666664E-2</v>
      </c>
    </row>
    <row r="5" spans="1:6" ht="16.2" customHeight="1" x14ac:dyDescent="0.3">
      <c r="A5" s="11"/>
      <c r="B5" s="11" t="s">
        <v>57</v>
      </c>
      <c r="C5" s="12" t="s">
        <v>53</v>
      </c>
      <c r="D5" s="13">
        <v>1</v>
      </c>
      <c r="E5" s="4">
        <f t="shared" si="0"/>
        <v>1.0416666666666666E-2</v>
      </c>
      <c r="F5" s="14">
        <f t="shared" si="1"/>
        <v>5.2083333333333329E-2</v>
      </c>
    </row>
    <row r="6" spans="1:6" ht="16.2" customHeight="1" x14ac:dyDescent="0.3">
      <c r="A6" s="20" t="s">
        <v>58</v>
      </c>
      <c r="B6" s="11" t="s">
        <v>59</v>
      </c>
      <c r="C6" s="12" t="s">
        <v>60</v>
      </c>
      <c r="D6" s="13">
        <v>4</v>
      </c>
      <c r="E6" s="5">
        <f t="shared" si="0"/>
        <v>4.1666666666666664E-2</v>
      </c>
      <c r="F6" s="14">
        <f t="shared" si="1"/>
        <v>9.375E-2</v>
      </c>
    </row>
    <row r="7" spans="1:6" ht="16.2" customHeight="1" x14ac:dyDescent="0.3">
      <c r="A7" s="15"/>
      <c r="B7" s="15" t="s">
        <v>61</v>
      </c>
      <c r="C7" s="16" t="s">
        <v>60</v>
      </c>
      <c r="D7" s="17">
        <v>3</v>
      </c>
      <c r="E7" s="21">
        <f t="shared" si="0"/>
        <v>3.125E-2</v>
      </c>
      <c r="F7" s="19">
        <f t="shared" si="1"/>
        <v>0.125</v>
      </c>
    </row>
    <row r="8" spans="1:6" ht="16.2" customHeight="1" x14ac:dyDescent="0.3">
      <c r="A8" s="11"/>
      <c r="B8" s="11" t="s">
        <v>62</v>
      </c>
      <c r="C8" s="12" t="s">
        <v>63</v>
      </c>
      <c r="D8" s="13">
        <v>3</v>
      </c>
      <c r="E8" s="5">
        <f t="shared" si="0"/>
        <v>3.125E-2</v>
      </c>
      <c r="F8" s="14">
        <f t="shared" si="1"/>
        <v>0.15625</v>
      </c>
    </row>
    <row r="9" spans="1:6" ht="16.2" customHeight="1" x14ac:dyDescent="0.3">
      <c r="A9" s="22" t="s">
        <v>64</v>
      </c>
      <c r="B9" s="11" t="s">
        <v>65</v>
      </c>
      <c r="C9" s="12" t="s">
        <v>66</v>
      </c>
      <c r="D9" s="13">
        <v>4</v>
      </c>
      <c r="E9" s="6">
        <f t="shared" si="0"/>
        <v>4.1666666666666664E-2</v>
      </c>
      <c r="F9" s="14">
        <f t="shared" si="1"/>
        <v>0.19791666666666666</v>
      </c>
    </row>
    <row r="10" spans="1:6" ht="16.2" customHeight="1" x14ac:dyDescent="0.3">
      <c r="A10" s="15"/>
      <c r="B10" s="15" t="s">
        <v>67</v>
      </c>
      <c r="C10" s="16" t="s">
        <v>68</v>
      </c>
      <c r="D10" s="17">
        <v>3</v>
      </c>
      <c r="E10" s="23">
        <f t="shared" si="0"/>
        <v>3.125E-2</v>
      </c>
      <c r="F10" s="19">
        <f t="shared" si="1"/>
        <v>0.22916666666666666</v>
      </c>
    </row>
    <row r="11" spans="1:6" ht="16.2" customHeight="1" x14ac:dyDescent="0.3">
      <c r="A11" s="11"/>
      <c r="B11" s="11" t="s">
        <v>69</v>
      </c>
      <c r="C11" s="12" t="s">
        <v>70</v>
      </c>
      <c r="D11" s="13">
        <v>4</v>
      </c>
      <c r="E11" s="6">
        <f t="shared" si="0"/>
        <v>4.1666666666666664E-2</v>
      </c>
      <c r="F11" s="14">
        <f t="shared" si="1"/>
        <v>0.27083333333333331</v>
      </c>
    </row>
    <row r="12" spans="1:6" ht="16.2" customHeight="1" x14ac:dyDescent="0.3">
      <c r="A12" s="15"/>
      <c r="B12" s="15" t="s">
        <v>71</v>
      </c>
      <c r="C12" s="16" t="s">
        <v>72</v>
      </c>
      <c r="D12" s="17">
        <v>2</v>
      </c>
      <c r="E12" s="23">
        <f t="shared" si="0"/>
        <v>2.0833333333333332E-2</v>
      </c>
      <c r="F12" s="19">
        <f t="shared" si="1"/>
        <v>0.29166666666666663</v>
      </c>
    </row>
    <row r="13" spans="1:6" ht="16.2" customHeight="1" x14ac:dyDescent="0.3">
      <c r="A13" s="24" t="s">
        <v>74</v>
      </c>
      <c r="B13" s="11" t="s">
        <v>75</v>
      </c>
      <c r="C13" s="12" t="s">
        <v>76</v>
      </c>
      <c r="D13" s="13">
        <v>2</v>
      </c>
      <c r="E13" s="7">
        <f t="shared" si="0"/>
        <v>2.0833333333333332E-2</v>
      </c>
      <c r="F13" s="14">
        <f t="shared" si="1"/>
        <v>0.31249999999999994</v>
      </c>
    </row>
    <row r="14" spans="1:6" ht="16.2" customHeight="1" x14ac:dyDescent="0.3">
      <c r="A14" s="15"/>
      <c r="B14" s="15" t="s">
        <v>77</v>
      </c>
      <c r="C14" s="16" t="s">
        <v>78</v>
      </c>
      <c r="D14" s="17">
        <v>5</v>
      </c>
      <c r="E14" s="25">
        <f t="shared" si="0"/>
        <v>5.2083333333333336E-2</v>
      </c>
      <c r="F14" s="19">
        <f t="shared" si="1"/>
        <v>0.36458333333333326</v>
      </c>
    </row>
    <row r="15" spans="1:6" ht="16.2" customHeight="1" x14ac:dyDescent="0.3">
      <c r="A15" s="11"/>
      <c r="B15" s="11" t="s">
        <v>80</v>
      </c>
      <c r="C15" s="12" t="s">
        <v>81</v>
      </c>
      <c r="D15" s="13">
        <v>18</v>
      </c>
      <c r="E15" s="7">
        <f t="shared" si="0"/>
        <v>0.1875</v>
      </c>
      <c r="F15" s="14">
        <f t="shared" si="1"/>
        <v>0.55208333333333326</v>
      </c>
    </row>
    <row r="16" spans="1:6" ht="16.2" customHeight="1" x14ac:dyDescent="0.3">
      <c r="A16" s="15"/>
      <c r="B16" s="15" t="s">
        <v>82</v>
      </c>
      <c r="C16" s="16" t="s">
        <v>78</v>
      </c>
      <c r="D16" s="17">
        <v>8</v>
      </c>
      <c r="E16" s="25">
        <f t="shared" si="0"/>
        <v>8.3333333333333329E-2</v>
      </c>
      <c r="F16" s="19">
        <f t="shared" si="1"/>
        <v>0.63541666666666663</v>
      </c>
    </row>
    <row r="17" spans="1:6" ht="16.2" customHeight="1" x14ac:dyDescent="0.3">
      <c r="A17" s="11"/>
      <c r="B17" s="11" t="s">
        <v>83</v>
      </c>
      <c r="C17" s="12" t="s">
        <v>84</v>
      </c>
      <c r="D17" s="13">
        <v>8</v>
      </c>
      <c r="E17" s="7">
        <f t="shared" si="0"/>
        <v>8.3333333333333329E-2</v>
      </c>
      <c r="F17" s="14">
        <f t="shared" si="1"/>
        <v>0.71875</v>
      </c>
    </row>
    <row r="18" spans="1:6" ht="16.2" customHeight="1" x14ac:dyDescent="0.3">
      <c r="A18" s="26" t="s">
        <v>85</v>
      </c>
      <c r="B18" s="11" t="s">
        <v>86</v>
      </c>
      <c r="C18" s="12" t="s">
        <v>87</v>
      </c>
      <c r="D18" s="13">
        <v>4</v>
      </c>
      <c r="E18" s="8">
        <f t="shared" si="0"/>
        <v>4.1666666666666664E-2</v>
      </c>
      <c r="F18" s="14">
        <f t="shared" si="1"/>
        <v>0.76041666666666663</v>
      </c>
    </row>
    <row r="19" spans="1:6" ht="16.2" customHeight="1" x14ac:dyDescent="0.3">
      <c r="A19" s="15"/>
      <c r="B19" s="15" t="s">
        <v>88</v>
      </c>
      <c r="C19" s="16" t="s">
        <v>89</v>
      </c>
      <c r="D19" s="17">
        <v>4</v>
      </c>
      <c r="E19" s="27">
        <f t="shared" si="0"/>
        <v>4.1666666666666664E-2</v>
      </c>
      <c r="F19" s="19">
        <f t="shared" si="1"/>
        <v>0.80208333333333326</v>
      </c>
    </row>
    <row r="20" spans="1:6" ht="16.2" customHeight="1" x14ac:dyDescent="0.3">
      <c r="A20" s="11"/>
      <c r="B20" s="11" t="s">
        <v>90</v>
      </c>
      <c r="C20" s="12" t="s">
        <v>91</v>
      </c>
      <c r="D20" s="13">
        <v>4</v>
      </c>
      <c r="E20" s="8">
        <f t="shared" si="0"/>
        <v>4.1666666666666664E-2</v>
      </c>
      <c r="F20" s="14">
        <f t="shared" si="1"/>
        <v>0.84374999999999989</v>
      </c>
    </row>
    <row r="21" spans="1:6" ht="16.2" customHeight="1" x14ac:dyDescent="0.3">
      <c r="A21" s="15"/>
      <c r="B21" s="15" t="s">
        <v>92</v>
      </c>
      <c r="C21" s="16" t="s">
        <v>93</v>
      </c>
      <c r="D21" s="17">
        <v>5</v>
      </c>
      <c r="E21" s="27">
        <f t="shared" si="0"/>
        <v>5.2083333333333336E-2</v>
      </c>
      <c r="F21" s="19">
        <f t="shared" si="1"/>
        <v>0.89583333333333326</v>
      </c>
    </row>
    <row r="22" spans="1:6" ht="16.2" customHeight="1" x14ac:dyDescent="0.3">
      <c r="A22" s="11"/>
      <c r="B22" s="11" t="s">
        <v>94</v>
      </c>
      <c r="C22" s="12" t="s">
        <v>95</v>
      </c>
      <c r="D22" s="13">
        <v>3</v>
      </c>
      <c r="E22" s="8">
        <f t="shared" si="0"/>
        <v>3.125E-2</v>
      </c>
      <c r="F22" s="14">
        <f t="shared" si="1"/>
        <v>0.92708333333333326</v>
      </c>
    </row>
    <row r="23" spans="1:6" ht="16.2" customHeight="1" x14ac:dyDescent="0.3">
      <c r="A23" s="28" t="s">
        <v>96</v>
      </c>
      <c r="B23" s="11" t="s">
        <v>97</v>
      </c>
      <c r="C23" s="12" t="s">
        <v>76</v>
      </c>
      <c r="D23" s="13">
        <v>2</v>
      </c>
      <c r="E23" s="9">
        <f t="shared" si="0"/>
        <v>2.0833333333333332E-2</v>
      </c>
      <c r="F23" s="14">
        <f t="shared" si="1"/>
        <v>0.94791666666666663</v>
      </c>
    </row>
    <row r="24" spans="1:6" ht="16.2" customHeight="1" x14ac:dyDescent="0.3">
      <c r="A24" s="15"/>
      <c r="B24" s="15" t="s">
        <v>98</v>
      </c>
      <c r="C24" s="16" t="s">
        <v>99</v>
      </c>
      <c r="D24" s="17">
        <v>3</v>
      </c>
      <c r="E24" s="29">
        <f t="shared" si="0"/>
        <v>3.125E-2</v>
      </c>
      <c r="F24" s="19">
        <f t="shared" si="1"/>
        <v>0.97916666666666663</v>
      </c>
    </row>
    <row r="25" spans="1:6" ht="16.2" customHeight="1" x14ac:dyDescent="0.3">
      <c r="A25" s="11"/>
      <c r="B25" s="11" t="s">
        <v>100</v>
      </c>
      <c r="C25" s="12" t="s">
        <v>60</v>
      </c>
      <c r="D25" s="13">
        <v>2</v>
      </c>
      <c r="E25" s="9">
        <f t="shared" si="0"/>
        <v>2.0833333333333332E-2</v>
      </c>
      <c r="F25" s="14">
        <f t="shared" si="1"/>
        <v>1</v>
      </c>
    </row>
    <row r="26" spans="1:6" x14ac:dyDescent="0.3">
      <c r="A26" s="143" t="s">
        <v>193</v>
      </c>
      <c r="B26" s="143"/>
      <c r="C26" s="143"/>
      <c r="D26" s="30">
        <f>SUM(D3:D25)</f>
        <v>96</v>
      </c>
      <c r="E26" s="31">
        <f>SUM(E3:E25)</f>
        <v>1</v>
      </c>
      <c r="F26" s="30"/>
    </row>
  </sheetData>
  <mergeCells count="2">
    <mergeCell ref="A26:C26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</vt:i4>
      </vt:variant>
    </vt:vector>
  </HeadingPairs>
  <TitlesOfParts>
    <vt:vector size="9" baseType="lpstr">
      <vt:lpstr>Configuración</vt:lpstr>
      <vt:lpstr>Gantt</vt:lpstr>
      <vt:lpstr>Detalle de entregable</vt:lpstr>
      <vt:lpstr>Dashboard</vt:lpstr>
      <vt:lpstr>Dashboard2</vt:lpstr>
      <vt:lpstr>Ponderaciones</vt:lpstr>
      <vt:lpstr>FechaInicioProyecto</vt:lpstr>
      <vt:lpstr>Feriados_BO_2026</vt:lpstr>
      <vt:lpstr>HorizonteDias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Chavez Gonzales, Yawar Gonzalo</cp:lastModifiedBy>
  <cp:revision/>
  <dcterms:created xsi:type="dcterms:W3CDTF">2026-04-28T13:01:54Z</dcterms:created>
  <dcterms:modified xsi:type="dcterms:W3CDTF">2026-06-15T23:23:21Z</dcterms:modified>
  <cp:category/>
  <cp:contentStatus/>
</cp:coreProperties>
</file>