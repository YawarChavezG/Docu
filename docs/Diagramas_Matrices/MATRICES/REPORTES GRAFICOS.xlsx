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mero\Downloads\"/>
    </mc:Choice>
  </mc:AlternateContent>
  <xr:revisionPtr revIDLastSave="0" documentId="13_ncr:1_{D1F5F391-54C7-4652-9FD1-18BE50B40634}" xr6:coauthVersionLast="47" xr6:coauthVersionMax="47" xr10:uidLastSave="{00000000-0000-0000-0000-000000000000}"/>
  <bookViews>
    <workbookView xWindow="-120" yWindow="-120" windowWidth="20730" windowHeight="11160" xr2:uid="{8AFD91C2-B7A0-4373-8C9D-2C299F790A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5" i="1" l="1"/>
  <c r="E86" i="1"/>
  <c r="E87" i="1"/>
  <c r="E84" i="1"/>
  <c r="G23" i="1"/>
  <c r="G24" i="1"/>
  <c r="G25" i="1"/>
  <c r="G22" i="1"/>
</calcChain>
</file>

<file path=xl/sharedStrings.xml><?xml version="1.0" encoding="utf-8"?>
<sst xmlns="http://schemas.openxmlformats.org/spreadsheetml/2006/main" count="75" uniqueCount="52">
  <si>
    <t>DOCUMENTOS EN REVISION</t>
  </si>
  <si>
    <t>DOCUMENTOS EN APROBACIÓN</t>
  </si>
  <si>
    <t>DOCUMENTOS OBSERVADOS (EN CORRECCIÓN)</t>
  </si>
  <si>
    <t>AL SELECCIONAR ALGUNO DESPLEGAR EL DETALLE</t>
  </si>
  <si>
    <t>CODIGO</t>
  </si>
  <si>
    <t>TITULO</t>
  </si>
  <si>
    <t>VERSION</t>
  </si>
  <si>
    <t>USUARIO(S) RESPONSABLE</t>
  </si>
  <si>
    <t>EN REVISION</t>
  </si>
  <si>
    <t xml:space="preserve">OBSERVADOS </t>
  </si>
  <si>
    <t>EN APROBACION</t>
  </si>
  <si>
    <t>EN LIBERACIÓN POR ETO</t>
  </si>
  <si>
    <t>RANGO DE FECHAS</t>
  </si>
  <si>
    <t>DESDE</t>
  </si>
  <si>
    <t>DD/MM/AAAA</t>
  </si>
  <si>
    <t>HASTA</t>
  </si>
  <si>
    <t>DOCUMENTOS APROBADOS</t>
  </si>
  <si>
    <t>ENERO</t>
  </si>
  <si>
    <t>FEBRERO</t>
  </si>
  <si>
    <t>MARZO</t>
  </si>
  <si>
    <t>ABRIL</t>
  </si>
  <si>
    <t>DOCUMENTOS LIBERADOS</t>
  </si>
  <si>
    <t>MAYO</t>
  </si>
  <si>
    <t>CECI</t>
  </si>
  <si>
    <t>ARA</t>
  </si>
  <si>
    <t>generales</t>
  </si>
  <si>
    <t>met y esp</t>
  </si>
  <si>
    <t>total</t>
  </si>
  <si>
    <t>ESTADO DE DOCUMENTOS</t>
  </si>
  <si>
    <r>
      <t xml:space="preserve">DOCUMENTOS LIBERADOS POR GESTOR ETO Y POR TIPO DE DOC </t>
    </r>
    <r>
      <rPr>
        <sz val="11"/>
        <color rgb="FFFF0000"/>
        <rFont val="Aptos Narrow"/>
        <family val="2"/>
        <scheme val="minor"/>
      </rPr>
      <t>(solo se separan metodologias y especificaciones)</t>
    </r>
  </si>
  <si>
    <t>En el segundo grafico se separa met y especificaciones)</t>
  </si>
  <si>
    <t>indicadores</t>
  </si>
  <si>
    <t>% de tareas completadas a tiempo</t>
  </si>
  <si>
    <t>% de tareas reasignadas</t>
  </si>
  <si>
    <t>de forma manual y por inumplimiento de plazos:  separar)</t>
  </si>
  <si>
    <r>
      <t xml:space="preserve">% de tareas no ejecutadas </t>
    </r>
    <r>
      <rPr>
        <sz val="11"/>
        <color rgb="FFFF0000"/>
        <rFont val="Aptos Narrow"/>
        <family val="2"/>
        <scheme val="minor"/>
      </rPr>
      <t>(aplica para tareas asignadas a roles de visualización)</t>
    </r>
  </si>
  <si>
    <t>TIEMPOS PROMEDIO DEL FLUJO DOCUMENTAL</t>
  </si>
  <si>
    <t>tiempo promedio (total desde la solicitud hasta la aprobación)</t>
  </si>
  <si>
    <t>dias</t>
  </si>
  <si>
    <t>tiempo promedio de revision</t>
  </si>
  <si>
    <t>tiempo promedio de aprobación</t>
  </si>
  <si>
    <t>tiempo promedio de corrección</t>
  </si>
  <si>
    <t>ene</t>
  </si>
  <si>
    <t>feb</t>
  </si>
  <si>
    <t>mar</t>
  </si>
  <si>
    <t>abr</t>
  </si>
  <si>
    <t>rev</t>
  </si>
  <si>
    <t>aprob</t>
  </si>
  <si>
    <t>corr</t>
  </si>
  <si>
    <t>desde</t>
  </si>
  <si>
    <t>hasta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</si>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</sst>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5" xfId="0" applyBorder="1"/>
    <xf numFmtId="0" fontId="2" fillId="0" borderId="5" xfId="0" applyFont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Estado</a:t>
            </a:r>
            <a:r>
              <a:rPr lang="es-BO" baseline="0"/>
              <a:t> de documentos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Hoja1!$A$10:$A$13</c:f>
              <c:strCache>
                <c:ptCount val="4"/>
                <c:pt idx="0">
                  <c:v>EN REVISION</c:v>
                </c:pt>
                <c:pt idx="1">
                  <c:v>EN APROBACION</c:v>
                </c:pt>
                <c:pt idx="2">
                  <c:v>OBSERVADOS </c:v>
                </c:pt>
                <c:pt idx="3">
                  <c:v>EN LIBERACIÓN POR ETO</c:v>
                </c:pt>
              </c:strCache>
            </c:strRef>
          </c:cat>
          <c:val>
            <c:numRef>
              <c:f>Hoja1!$B$10:$B$13</c:f>
              <c:numCache>
                <c:formatCode>General</c:formatCode>
                <c:ptCount val="4"/>
                <c:pt idx="0">
                  <c:v>30</c:v>
                </c:pt>
                <c:pt idx="1">
                  <c:v>12</c:v>
                </c:pt>
                <c:pt idx="2">
                  <c:v>8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6-4E64-A0B0-DBE4C92A14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4254239"/>
        <c:axId val="901726399"/>
      </c:barChart>
      <c:catAx>
        <c:axId val="83425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01726399"/>
        <c:crosses val="autoZero"/>
        <c:auto val="1"/>
        <c:lblAlgn val="ctr"/>
        <c:lblOffset val="100"/>
        <c:noMultiLvlLbl val="0"/>
      </c:catAx>
      <c:valAx>
        <c:axId val="90172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3425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DOCUMENTOS APROBADOS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Hoja1!$A$22:$A$25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Hoja1!$B$22:$B$25</c:f>
              <c:numCache>
                <c:formatCode>General</c:formatCode>
                <c:ptCount val="4"/>
                <c:pt idx="0">
                  <c:v>54</c:v>
                </c:pt>
                <c:pt idx="1">
                  <c:v>30</c:v>
                </c:pt>
                <c:pt idx="2">
                  <c:v>64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9-41CB-BB85-1E91568989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8894176"/>
        <c:axId val="528895136"/>
      </c:barChart>
      <c:catAx>
        <c:axId val="52889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28895136"/>
        <c:crosses val="autoZero"/>
        <c:auto val="1"/>
        <c:lblAlgn val="ctr"/>
        <c:lblOffset val="100"/>
        <c:noMultiLvlLbl val="0"/>
      </c:catAx>
      <c:valAx>
        <c:axId val="52889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2889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DOCUMENTOS LIBERADOS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Hoja1!$B$37</c:f>
              <c:strCache>
                <c:ptCount val="1"/>
                <c:pt idx="0">
                  <c:v>CECI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Hoja1!$A$38:$A$42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Hoja1!$B$38:$B$42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10</c:v>
                </c:pt>
                <c:pt idx="3">
                  <c:v>4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3-4032-8F8B-C88DACFBB161}"/>
            </c:ext>
          </c:extLst>
        </c:ser>
        <c:ser>
          <c:idx val="1"/>
          <c:order val="1"/>
          <c:tx>
            <c:strRef>
              <c:f>Hoja1!$C$37</c:f>
              <c:strCache>
                <c:ptCount val="1"/>
                <c:pt idx="0">
                  <c:v>ARA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Hoja1!$A$38:$A$42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Hoja1!$C$38:$C$42</c:f>
              <c:numCache>
                <c:formatCode>General</c:formatCode>
                <c:ptCount val="5"/>
                <c:pt idx="0">
                  <c:v>24</c:v>
                </c:pt>
                <c:pt idx="1">
                  <c:v>4</c:v>
                </c:pt>
                <c:pt idx="2">
                  <c:v>23</c:v>
                </c:pt>
                <c:pt idx="3">
                  <c:v>34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3-4032-8F8B-C88DACFBB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239951"/>
        <c:axId val="957242351"/>
      </c:barChart>
      <c:catAx>
        <c:axId val="95723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57242351"/>
        <c:crosses val="autoZero"/>
        <c:auto val="1"/>
        <c:lblAlgn val="ctr"/>
        <c:lblOffset val="100"/>
        <c:noMultiLvlLbl val="0"/>
      </c:catAx>
      <c:valAx>
        <c:axId val="95724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5723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DOCUMENTOS</a:t>
            </a:r>
            <a:r>
              <a:rPr lang="es-BO" baseline="0"/>
              <a:t> APROBADOS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Hoja1!$E$21</c:f>
              <c:strCache>
                <c:ptCount val="1"/>
                <c:pt idx="0">
                  <c:v>generales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Hoja1!$D$22:$D$25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Hoja1!$E$22:$E$25</c:f>
              <c:numCache>
                <c:formatCode>General</c:formatCode>
                <c:ptCount val="4"/>
                <c:pt idx="0">
                  <c:v>14</c:v>
                </c:pt>
                <c:pt idx="1">
                  <c:v>10</c:v>
                </c:pt>
                <c:pt idx="2">
                  <c:v>30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0-40E6-AFF8-3F6B41F67F79}"/>
            </c:ext>
          </c:extLst>
        </c:ser>
        <c:ser>
          <c:idx val="1"/>
          <c:order val="1"/>
          <c:tx>
            <c:strRef>
              <c:f>Hoja1!$F$21</c:f>
              <c:strCache>
                <c:ptCount val="1"/>
                <c:pt idx="0">
                  <c:v>met y esp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Hoja1!$D$22:$D$25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Hoja1!$F$22:$F$25</c:f>
              <c:numCache>
                <c:formatCode>General</c:formatCode>
                <c:ptCount val="4"/>
                <c:pt idx="0">
                  <c:v>40</c:v>
                </c:pt>
                <c:pt idx="1">
                  <c:v>20</c:v>
                </c:pt>
                <c:pt idx="2">
                  <c:v>34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20-40E6-AFF8-3F6B41F67F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57250031"/>
        <c:axId val="957247631"/>
      </c:barChart>
      <c:lineChart>
        <c:grouping val="standard"/>
        <c:varyColors val="0"/>
        <c:ser>
          <c:idx val="2"/>
          <c:order val="2"/>
          <c:tx>
            <c:strRef>
              <c:f>Hoja1!$G$21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Hoja1!$D$22:$D$25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Hoja1!$G$22:$G$25</c:f>
              <c:numCache>
                <c:formatCode>General</c:formatCode>
                <c:ptCount val="4"/>
                <c:pt idx="0">
                  <c:v>54</c:v>
                </c:pt>
                <c:pt idx="1">
                  <c:v>30</c:v>
                </c:pt>
                <c:pt idx="2">
                  <c:v>64</c:v>
                </c:pt>
                <c:pt idx="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20-40E6-AFF8-3F6B41F67F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7250031"/>
        <c:axId val="957247631"/>
      </c:lineChart>
      <c:catAx>
        <c:axId val="95725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57247631"/>
        <c:crosses val="autoZero"/>
        <c:auto val="1"/>
        <c:lblAlgn val="ctr"/>
        <c:lblOffset val="100"/>
        <c:noMultiLvlLbl val="0"/>
      </c:catAx>
      <c:valAx>
        <c:axId val="95724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5725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PLAZOS</a:t>
            </a:r>
            <a:r>
              <a:rPr lang="es-BO" baseline="0"/>
              <a:t> DE APROBACION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Hoja1!$A$84</c:f>
              <c:strCache>
                <c:ptCount val="1"/>
                <c:pt idx="0">
                  <c:v>ene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Hoja1!$B$83:$E$83</c:f>
              <c:strCache>
                <c:ptCount val="4"/>
                <c:pt idx="0">
                  <c:v>rev</c:v>
                </c:pt>
                <c:pt idx="1">
                  <c:v>aprob</c:v>
                </c:pt>
                <c:pt idx="2">
                  <c:v>corr</c:v>
                </c:pt>
                <c:pt idx="3">
                  <c:v>total</c:v>
                </c:pt>
              </c:strCache>
            </c:strRef>
          </c:cat>
          <c:val>
            <c:numRef>
              <c:f>Hoja1!$B$84:$E$84</c:f>
              <c:numCache>
                <c:formatCode>General</c:formatCode>
                <c:ptCount val="4"/>
                <c:pt idx="0">
                  <c:v>10</c:v>
                </c:pt>
                <c:pt idx="1">
                  <c:v>2</c:v>
                </c:pt>
                <c:pt idx="2">
                  <c:v>3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1-4307-A46C-0ACBD8E65EC8}"/>
            </c:ext>
          </c:extLst>
        </c:ser>
        <c:ser>
          <c:idx val="1"/>
          <c:order val="1"/>
          <c:tx>
            <c:strRef>
              <c:f>Hoja1!$A$85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Hoja1!$B$83:$E$83</c:f>
              <c:strCache>
                <c:ptCount val="4"/>
                <c:pt idx="0">
                  <c:v>rev</c:v>
                </c:pt>
                <c:pt idx="1">
                  <c:v>aprob</c:v>
                </c:pt>
                <c:pt idx="2">
                  <c:v>corr</c:v>
                </c:pt>
                <c:pt idx="3">
                  <c:v>total</c:v>
                </c:pt>
              </c:strCache>
            </c:strRef>
          </c:cat>
          <c:val>
            <c:numRef>
              <c:f>Hoja1!$B$85:$E$85</c:f>
              <c:numCache>
                <c:formatCode>General</c:formatCode>
                <c:ptCount val="4"/>
                <c:pt idx="0">
                  <c:v>12</c:v>
                </c:pt>
                <c:pt idx="1">
                  <c:v>4</c:v>
                </c:pt>
                <c:pt idx="2">
                  <c:v>5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D1-4307-A46C-0ACBD8E65EC8}"/>
            </c:ext>
          </c:extLst>
        </c:ser>
        <c:ser>
          <c:idx val="2"/>
          <c:order val="2"/>
          <c:tx>
            <c:strRef>
              <c:f>Hoja1!$A$86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Hoja1!$B$83:$E$83</c:f>
              <c:strCache>
                <c:ptCount val="4"/>
                <c:pt idx="0">
                  <c:v>rev</c:v>
                </c:pt>
                <c:pt idx="1">
                  <c:v>aprob</c:v>
                </c:pt>
                <c:pt idx="2">
                  <c:v>corr</c:v>
                </c:pt>
                <c:pt idx="3">
                  <c:v>total</c:v>
                </c:pt>
              </c:strCache>
            </c:strRef>
          </c:cat>
          <c:val>
            <c:numRef>
              <c:f>Hoja1!$B$86:$E$86</c:f>
              <c:numCache>
                <c:formatCode>General</c:formatCode>
                <c:ptCount val="4"/>
                <c:pt idx="0">
                  <c:v>14</c:v>
                </c:pt>
                <c:pt idx="1">
                  <c:v>6</c:v>
                </c:pt>
                <c:pt idx="2">
                  <c:v>7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D1-4307-A46C-0ACBD8E65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4775583"/>
        <c:axId val="904776063"/>
      </c:barChart>
      <c:lineChart>
        <c:grouping val="standard"/>
        <c:varyColors val="0"/>
        <c:ser>
          <c:idx val="3"/>
          <c:order val="3"/>
          <c:tx>
            <c:strRef>
              <c:f>Hoja1!$A$87</c:f>
              <c:strCache>
                <c:ptCount val="1"/>
                <c:pt idx="0">
                  <c:v>abr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Hoja1!$B$83:$E$83</c:f>
              <c:strCache>
                <c:ptCount val="4"/>
                <c:pt idx="0">
                  <c:v>rev</c:v>
                </c:pt>
                <c:pt idx="1">
                  <c:v>aprob</c:v>
                </c:pt>
                <c:pt idx="2">
                  <c:v>corr</c:v>
                </c:pt>
                <c:pt idx="3">
                  <c:v>total</c:v>
                </c:pt>
              </c:strCache>
            </c:strRef>
          </c:cat>
          <c:val>
            <c:numRef>
              <c:f>Hoja1!$B$87:$E$87</c:f>
              <c:numCache>
                <c:formatCode>General</c:formatCode>
                <c:ptCount val="4"/>
                <c:pt idx="0">
                  <c:v>16</c:v>
                </c:pt>
                <c:pt idx="1">
                  <c:v>5</c:v>
                </c:pt>
                <c:pt idx="2">
                  <c:v>9</c:v>
                </c:pt>
                <c:pt idx="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D1-4307-A46C-0ACBD8E65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775583"/>
        <c:axId val="904776063"/>
      </c:lineChart>
      <c:catAx>
        <c:axId val="90477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04776063"/>
        <c:crosses val="autoZero"/>
        <c:auto val="1"/>
        <c:lblAlgn val="ctr"/>
        <c:lblOffset val="100"/>
        <c:noMultiLvlLbl val="0"/>
      </c:catAx>
      <c:valAx>
        <c:axId val="90477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0477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2.xml"/><Relationship Id="rId7" Type="http://schemas.openxmlformats.org/officeDocument/2006/relationships/image" Target="../media/image3.jpe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4.xml"/><Relationship Id="rId11" Type="http://schemas.openxmlformats.org/officeDocument/2006/relationships/image" Target="../media/image6.png"/><Relationship Id="rId5" Type="http://schemas.openxmlformats.org/officeDocument/2006/relationships/image" Target="../media/image2.png"/><Relationship Id="rId10" Type="http://schemas.openxmlformats.org/officeDocument/2006/relationships/image" Target="../media/image5.png"/><Relationship Id="rId4" Type="http://schemas.openxmlformats.org/officeDocument/2006/relationships/chart" Target="../charts/chart3.xml"/><Relationship Id="rId9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85726</xdr:colOff>
      <xdr:row>3</xdr:row>
      <xdr:rowOff>66676</xdr:rowOff>
    </xdr:from>
    <xdr:to>
      <xdr:col>8</xdr:col>
      <xdr:colOff>657226</xdr:colOff>
      <xdr:row>5</xdr:row>
      <xdr:rowOff>185408</xdr:rowOff>
    </xdr:to>
    <xdr:pic>
      <xdr:nvPicPr>
        <xdr:cNvPr id="2" name="Imagen 1" descr="Icono de clic de mano, vector">
          <a:extLst>
            <a:ext uri="{FF2B5EF4-FFF2-40B4-BE49-F238E27FC236}">
              <a16:creationId xmlns:a16="http://schemas.microsoft.com/office/drawing/2014/main" id="{4EBB43AF-BAFB-B72C-DC88-602C3D941D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10" t="16656" r="25345" b="20836"/>
        <a:stretch>
          <a:fillRect/>
        </a:stretch>
      </xdr:blipFill>
      <xdr:spPr bwMode="auto">
        <a:xfrm>
          <a:off x="6848476" y="266701"/>
          <a:ext cx="571500" cy="5092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</xdr:row>
      <xdr:rowOff>4761</xdr:rowOff>
    </xdr:from>
    <xdr:to>
      <xdr:col>4</xdr:col>
      <xdr:colOff>238124</xdr:colOff>
      <xdr:row>16</xdr:row>
      <xdr:rowOff>171449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A203BD-0DE4-D888-0658-A6BFBF356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76201</xdr:rowOff>
    </xdr:from>
    <xdr:to>
      <xdr:col>4</xdr:col>
      <xdr:colOff>266700</xdr:colOff>
      <xdr:row>31</xdr:row>
      <xdr:rowOff>171451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10B3E5-293D-BDD0-05BF-B15E7364F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100012</xdr:rowOff>
    </xdr:from>
    <xdr:to>
      <xdr:col>4</xdr:col>
      <xdr:colOff>647700</xdr:colOff>
      <xdr:row>49</xdr:row>
      <xdr:rowOff>176212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7825660-984C-4606-14C5-6F4A70C4D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38100</xdr:colOff>
      <xdr:row>52</xdr:row>
      <xdr:rowOff>19050</xdr:rowOff>
    </xdr:from>
    <xdr:to>
      <xdr:col>7</xdr:col>
      <xdr:colOff>483373</xdr:colOff>
      <xdr:row>67</xdr:row>
      <xdr:rowOff>8848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5A336DF-721C-4A8E-BFA0-251BB0178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9391650"/>
          <a:ext cx="6436498" cy="2847298"/>
        </a:xfrm>
        <a:prstGeom prst="rect">
          <a:avLst/>
        </a:prstGeom>
      </xdr:spPr>
    </xdr:pic>
    <xdr:clientData/>
  </xdr:twoCellAnchor>
  <xdr:twoCellAnchor>
    <xdr:from>
      <xdr:col>4</xdr:col>
      <xdr:colOff>285750</xdr:colOff>
      <xdr:row>19</xdr:row>
      <xdr:rowOff>66675</xdr:rowOff>
    </xdr:from>
    <xdr:to>
      <xdr:col>10</xdr:col>
      <xdr:colOff>266700</xdr:colOff>
      <xdr:row>31</xdr:row>
      <xdr:rowOff>161925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E2A89B9-4242-E51A-878B-BBB7750D6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304800</xdr:colOff>
      <xdr:row>70</xdr:row>
      <xdr:rowOff>9525</xdr:rowOff>
    </xdr:from>
    <xdr:to>
      <xdr:col>9</xdr:col>
      <xdr:colOff>657225</xdr:colOff>
      <xdr:row>73</xdr:row>
      <xdr:rowOff>66675</xdr:rowOff>
    </xdr:to>
    <xdr:pic>
      <xdr:nvPicPr>
        <xdr:cNvPr id="9" name="Imagen 8" descr="15 mil resultados de imágenes, fotos de stock e ...">
          <a:extLst>
            <a:ext uri="{FF2B5EF4-FFF2-40B4-BE49-F238E27FC236}">
              <a16:creationId xmlns:a16="http://schemas.microsoft.com/office/drawing/2014/main" id="{B4A9F6E9-BD14-D7C6-0F2B-7974AA6C5D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9" b="32653"/>
        <a:stretch>
          <a:fillRect/>
        </a:stretch>
      </xdr:blipFill>
      <xdr:spPr bwMode="auto">
        <a:xfrm>
          <a:off x="4914900" y="13382625"/>
          <a:ext cx="325755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81</xdr:row>
      <xdr:rowOff>185737</xdr:rowOff>
    </xdr:from>
    <xdr:to>
      <xdr:col>5</xdr:col>
      <xdr:colOff>123825</xdr:colOff>
      <xdr:row>96</xdr:row>
      <xdr:rowOff>71437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7EB3716-0050-189D-D29B-BEB6F9440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695324</xdr:colOff>
      <xdr:row>6</xdr:row>
      <xdr:rowOff>141625</xdr:rowOff>
    </xdr:from>
    <xdr:to>
      <xdr:col>14</xdr:col>
      <xdr:colOff>590549</xdr:colOff>
      <xdr:row>17</xdr:row>
      <xdr:rowOff>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1ABC178-6AD8-4449-EB32-2C9EFFDE3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0549" y="1313200"/>
          <a:ext cx="3705225" cy="196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781050</xdr:colOff>
      <xdr:row>81</xdr:row>
      <xdr:rowOff>99393</xdr:rowOff>
    </xdr:from>
    <xdr:to>
      <xdr:col>12</xdr:col>
      <xdr:colOff>742950</xdr:colOff>
      <xdr:row>95</xdr:row>
      <xdr:rowOff>66675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E3F4107-F1FC-74DE-8DC7-6DD9FDE0B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15567993"/>
          <a:ext cx="5153025" cy="2634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97</xdr:row>
      <xdr:rowOff>123825</xdr:rowOff>
    </xdr:from>
    <xdr:to>
      <xdr:col>7</xdr:col>
      <xdr:colOff>361950</xdr:colOff>
      <xdr:row>113</xdr:row>
      <xdr:rowOff>171450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A64B112-964D-0936-19EF-E68DF62B4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8640425"/>
          <a:ext cx="6143625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77CA-C89E-457C-9FE2-DD9B3A2C8137}">
  <dimension ref="A2:N87"/>
  <sheetViews>
    <sheetView tabSelected="1" topLeftCell="A91" workbookViewId="0">
      <selection activeCell="G97" sqref="G97"/>
    </sheetView>
  </sheetViews>
  <sheetFormatPr baseColWidth="10" defaultRowHeight="15" x14ac:dyDescent="0.25"/>
  <cols>
    <col min="1" max="1" width="20.7109375" customWidth="1"/>
    <col min="3" max="3" width="2.42578125" customWidth="1"/>
    <col min="4" max="4" width="20.7109375" customWidth="1"/>
    <col min="6" max="6" width="2.42578125" customWidth="1"/>
    <col min="7" max="7" width="20.7109375" customWidth="1"/>
  </cols>
  <sheetData>
    <row r="2" spans="1:14" x14ac:dyDescent="0.25">
      <c r="A2" s="9" t="s">
        <v>28</v>
      </c>
    </row>
    <row r="3" spans="1:14" ht="15.75" thickBot="1" x14ac:dyDescent="0.3"/>
    <row r="4" spans="1:14" x14ac:dyDescent="0.25">
      <c r="A4" s="1" t="s">
        <v>0</v>
      </c>
      <c r="B4" s="2"/>
      <c r="D4" s="1" t="s">
        <v>1</v>
      </c>
      <c r="E4" s="2"/>
      <c r="G4" s="5" t="s">
        <v>2</v>
      </c>
      <c r="H4" s="2"/>
    </row>
    <row r="5" spans="1:14" ht="15.75" thickBot="1" x14ac:dyDescent="0.3">
      <c r="A5" s="3"/>
      <c r="B5" s="4">
        <v>30</v>
      </c>
      <c r="D5" s="3"/>
      <c r="E5" s="4">
        <v>12</v>
      </c>
      <c r="G5" s="6"/>
      <c r="H5" s="4">
        <v>8</v>
      </c>
      <c r="J5" t="s">
        <v>3</v>
      </c>
    </row>
    <row r="6" spans="1:14" ht="15.75" thickBot="1" x14ac:dyDescent="0.3">
      <c r="K6" s="8" t="s">
        <v>4</v>
      </c>
      <c r="L6" s="8" t="s">
        <v>5</v>
      </c>
      <c r="M6" s="8" t="s">
        <v>6</v>
      </c>
      <c r="N6" s="8" t="s">
        <v>7</v>
      </c>
    </row>
    <row r="7" spans="1:14" x14ac:dyDescent="0.25">
      <c r="G7" s="5" t="s">
        <v>11</v>
      </c>
      <c r="H7" s="2"/>
    </row>
    <row r="8" spans="1:14" ht="15.75" thickBot="1" x14ac:dyDescent="0.3">
      <c r="G8" s="6"/>
      <c r="H8" s="4">
        <v>5</v>
      </c>
    </row>
    <row r="10" spans="1:14" x14ac:dyDescent="0.25">
      <c r="A10" t="s">
        <v>8</v>
      </c>
      <c r="B10">
        <v>30</v>
      </c>
    </row>
    <row r="11" spans="1:14" x14ac:dyDescent="0.25">
      <c r="A11" t="s">
        <v>10</v>
      </c>
      <c r="B11">
        <v>12</v>
      </c>
    </row>
    <row r="12" spans="1:14" x14ac:dyDescent="0.25">
      <c r="A12" t="s">
        <v>9</v>
      </c>
      <c r="B12">
        <v>8</v>
      </c>
    </row>
    <row r="13" spans="1:14" x14ac:dyDescent="0.25">
      <c r="A13" t="s">
        <v>11</v>
      </c>
      <c r="B13">
        <v>5</v>
      </c>
    </row>
    <row r="18" spans="1:9" x14ac:dyDescent="0.25">
      <c r="A18" s="9" t="s">
        <v>16</v>
      </c>
    </row>
    <row r="19" spans="1:9" x14ac:dyDescent="0.25">
      <c r="A19" t="s">
        <v>12</v>
      </c>
      <c r="B19" t="s">
        <v>13</v>
      </c>
      <c r="D19" s="7" t="s">
        <v>14</v>
      </c>
      <c r="E19" t="s">
        <v>15</v>
      </c>
      <c r="G19" s="7" t="s">
        <v>14</v>
      </c>
      <c r="I19" s="10" t="s">
        <v>30</v>
      </c>
    </row>
    <row r="21" spans="1:9" x14ac:dyDescent="0.25">
      <c r="A21" t="s">
        <v>16</v>
      </c>
      <c r="D21" t="s">
        <v>16</v>
      </c>
      <c r="E21" t="s">
        <v>25</v>
      </c>
      <c r="F21" t="s">
        <v>26</v>
      </c>
      <c r="G21" t="s">
        <v>27</v>
      </c>
    </row>
    <row r="22" spans="1:9" x14ac:dyDescent="0.25">
      <c r="A22" t="s">
        <v>17</v>
      </c>
      <c r="B22">
        <v>54</v>
      </c>
      <c r="D22" t="s">
        <v>17</v>
      </c>
      <c r="E22">
        <v>14</v>
      </c>
      <c r="F22">
        <v>40</v>
      </c>
      <c r="G22">
        <f>F22+E22</f>
        <v>54</v>
      </c>
    </row>
    <row r="23" spans="1:9" x14ac:dyDescent="0.25">
      <c r="A23" t="s">
        <v>18</v>
      </c>
      <c r="B23">
        <v>30</v>
      </c>
      <c r="D23" t="s">
        <v>18</v>
      </c>
      <c r="E23">
        <v>10</v>
      </c>
      <c r="F23">
        <v>20</v>
      </c>
      <c r="G23">
        <f t="shared" ref="G23:G25" si="0">F23+E23</f>
        <v>30</v>
      </c>
    </row>
    <row r="24" spans="1:9" x14ac:dyDescent="0.25">
      <c r="A24" t="s">
        <v>19</v>
      </c>
      <c r="B24">
        <v>64</v>
      </c>
      <c r="D24" t="s">
        <v>19</v>
      </c>
      <c r="E24">
        <v>30</v>
      </c>
      <c r="F24">
        <v>34</v>
      </c>
      <c r="G24">
        <f t="shared" si="0"/>
        <v>64</v>
      </c>
    </row>
    <row r="25" spans="1:9" x14ac:dyDescent="0.25">
      <c r="A25" t="s">
        <v>20</v>
      </c>
      <c r="B25">
        <v>41</v>
      </c>
      <c r="D25" t="s">
        <v>20</v>
      </c>
      <c r="E25">
        <v>18</v>
      </c>
      <c r="F25">
        <v>23</v>
      </c>
      <c r="G25">
        <f t="shared" si="0"/>
        <v>41</v>
      </c>
    </row>
    <row r="34" spans="1:7" x14ac:dyDescent="0.25">
      <c r="A34" s="9" t="s">
        <v>21</v>
      </c>
    </row>
    <row r="35" spans="1:7" x14ac:dyDescent="0.25">
      <c r="A35" t="s">
        <v>12</v>
      </c>
      <c r="B35" t="s">
        <v>13</v>
      </c>
      <c r="D35" s="7" t="s">
        <v>14</v>
      </c>
      <c r="E35" t="s">
        <v>15</v>
      </c>
      <c r="G35" s="7" t="s">
        <v>14</v>
      </c>
    </row>
    <row r="37" spans="1:7" x14ac:dyDescent="0.25">
      <c r="B37" t="s">
        <v>23</v>
      </c>
      <c r="C37" t="s">
        <v>24</v>
      </c>
    </row>
    <row r="38" spans="1:7" x14ac:dyDescent="0.25">
      <c r="A38" t="s">
        <v>17</v>
      </c>
      <c r="B38">
        <v>10</v>
      </c>
      <c r="C38">
        <v>24</v>
      </c>
    </row>
    <row r="39" spans="1:7" x14ac:dyDescent="0.25">
      <c r="A39" t="s">
        <v>18</v>
      </c>
      <c r="B39">
        <v>20</v>
      </c>
      <c r="C39">
        <v>4</v>
      </c>
    </row>
    <row r="40" spans="1:7" x14ac:dyDescent="0.25">
      <c r="A40" t="s">
        <v>19</v>
      </c>
      <c r="B40">
        <v>10</v>
      </c>
      <c r="C40">
        <v>23</v>
      </c>
    </row>
    <row r="41" spans="1:7" x14ac:dyDescent="0.25">
      <c r="A41" t="s">
        <v>20</v>
      </c>
      <c r="B41">
        <v>4</v>
      </c>
      <c r="C41">
        <v>34</v>
      </c>
    </row>
    <row r="42" spans="1:7" x14ac:dyDescent="0.25">
      <c r="A42" t="s">
        <v>22</v>
      </c>
      <c r="B42">
        <v>34</v>
      </c>
      <c r="C42">
        <v>3</v>
      </c>
    </row>
    <row r="52" spans="1:1" x14ac:dyDescent="0.25">
      <c r="A52" t="s">
        <v>29</v>
      </c>
    </row>
    <row r="70" spans="1:7" x14ac:dyDescent="0.25">
      <c r="A70" t="s">
        <v>31</v>
      </c>
    </row>
    <row r="71" spans="1:7" x14ac:dyDescent="0.25">
      <c r="A71" t="s">
        <v>32</v>
      </c>
    </row>
    <row r="72" spans="1:7" x14ac:dyDescent="0.25">
      <c r="A72" t="s">
        <v>33</v>
      </c>
      <c r="B72" t="s">
        <v>34</v>
      </c>
    </row>
    <row r="73" spans="1:7" x14ac:dyDescent="0.25">
      <c r="A73" t="s">
        <v>35</v>
      </c>
    </row>
    <row r="75" spans="1:7" x14ac:dyDescent="0.25">
      <c r="A75" t="s">
        <v>36</v>
      </c>
    </row>
    <row r="76" spans="1:7" x14ac:dyDescent="0.25">
      <c r="A76" t="s">
        <v>37</v>
      </c>
      <c r="E76">
        <v>30</v>
      </c>
      <c r="G76" t="s">
        <v>38</v>
      </c>
    </row>
    <row r="77" spans="1:7" x14ac:dyDescent="0.25">
      <c r="A77" t="s">
        <v>39</v>
      </c>
      <c r="E77">
        <v>10</v>
      </c>
      <c r="G77" t="s">
        <v>38</v>
      </c>
    </row>
    <row r="78" spans="1:7" x14ac:dyDescent="0.25">
      <c r="A78" t="s">
        <v>40</v>
      </c>
      <c r="E78">
        <v>15</v>
      </c>
      <c r="G78" t="s">
        <v>38</v>
      </c>
    </row>
    <row r="79" spans="1:7" x14ac:dyDescent="0.25">
      <c r="A79" t="s">
        <v>41</v>
      </c>
      <c r="E79">
        <v>8</v>
      </c>
      <c r="G79" t="s">
        <v>38</v>
      </c>
    </row>
    <row r="81" spans="1:5" x14ac:dyDescent="0.25">
      <c r="A81" t="s">
        <v>49</v>
      </c>
      <c r="B81" t="s">
        <v>14</v>
      </c>
      <c r="D81" t="s">
        <v>50</v>
      </c>
      <c r="E81" t="s">
        <v>14</v>
      </c>
    </row>
    <row r="83" spans="1:5" x14ac:dyDescent="0.25">
      <c r="A83" t="s">
        <v>51</v>
      </c>
      <c r="B83" t="s">
        <v>46</v>
      </c>
      <c r="C83" t="s">
        <v>47</v>
      </c>
      <c r="D83" t="s">
        <v>48</v>
      </c>
      <c r="E83" t="s">
        <v>27</v>
      </c>
    </row>
    <row r="84" spans="1:5" x14ac:dyDescent="0.25">
      <c r="A84" t="s">
        <v>42</v>
      </c>
      <c r="B84">
        <v>10</v>
      </c>
      <c r="C84">
        <v>2</v>
      </c>
      <c r="D84">
        <v>3</v>
      </c>
      <c r="E84">
        <f>SUM(B84:D84)</f>
        <v>15</v>
      </c>
    </row>
    <row r="85" spans="1:5" x14ac:dyDescent="0.25">
      <c r="A85" t="s">
        <v>43</v>
      </c>
      <c r="B85">
        <v>12</v>
      </c>
      <c r="C85">
        <v>4</v>
      </c>
      <c r="D85">
        <v>5</v>
      </c>
      <c r="E85">
        <f t="shared" ref="E85:E87" si="1">SUM(B85:D85)</f>
        <v>21</v>
      </c>
    </row>
    <row r="86" spans="1:5" x14ac:dyDescent="0.25">
      <c r="A86" t="s">
        <v>44</v>
      </c>
      <c r="B86">
        <v>14</v>
      </c>
      <c r="C86">
        <v>6</v>
      </c>
      <c r="D86">
        <v>7</v>
      </c>
      <c r="E86">
        <f t="shared" si="1"/>
        <v>27</v>
      </c>
    </row>
    <row r="87" spans="1:5" x14ac:dyDescent="0.25">
      <c r="A87" t="s">
        <v>45</v>
      </c>
      <c r="B87">
        <v>16</v>
      </c>
      <c r="C87">
        <v>5</v>
      </c>
      <c r="D87">
        <v>9</v>
      </c>
      <c r="E87">
        <f t="shared" si="1"/>
        <v>30</v>
      </c>
    </row>
  </sheetData>
  <mergeCells count="2">
    <mergeCell ref="G4:G5"/>
    <mergeCell ref="G7:G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Plata, Aracely Carol</dc:creator>
  <cp:lastModifiedBy>Romero Plata, Aracely Carol</cp:lastModifiedBy>
  <dcterms:created xsi:type="dcterms:W3CDTF">2026-05-12T14:32:38Z</dcterms:created>
  <dcterms:modified xsi:type="dcterms:W3CDTF">2026-05-12T15:45:23Z</dcterms:modified>
</cp:coreProperties>
</file>